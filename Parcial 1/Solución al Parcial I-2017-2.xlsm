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yl\Google Drive\Simulación\Parciales\2017_III\"/>
    </mc:Choice>
  </mc:AlternateContent>
  <bookViews>
    <workbookView xWindow="0" yWindow="0" windowWidth="16815" windowHeight="8595" activeTab="1" xr2:uid="{D3380779-33B2-4582-96AD-3F964A3ABC38}"/>
  </bookViews>
  <sheets>
    <sheet name="Tema1" sheetId="3" r:id="rId1"/>
    <sheet name="Tema2" sheetId="2" r:id="rId2"/>
  </sheets>
  <functionGroups builtInGroupCount="18"/>
  <definedNames>
    <definedName name="_xlnm.Print_Area" localSheetId="0">Tema1!$K$30:$U$41</definedName>
    <definedName name="_xlnm.Print_Area" localSheetId="1">Tema2!$A$29:$U$56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3" i="3" l="1"/>
  <c r="D8" i="3" l="1"/>
  <c r="D7" i="3"/>
  <c r="C8" i="3"/>
  <c r="I111" i="3" l="1"/>
  <c r="H78" i="3" l="1"/>
  <c r="H76" i="3"/>
  <c r="E52" i="3"/>
  <c r="D32" i="3"/>
  <c r="E32" i="3" s="1"/>
  <c r="F32" i="3"/>
  <c r="D33" i="3"/>
  <c r="E33" i="3" s="1"/>
  <c r="F33" i="3"/>
  <c r="D34" i="3"/>
  <c r="E34" i="3"/>
  <c r="F34" i="3"/>
  <c r="D35" i="3"/>
  <c r="E35" i="3" s="1"/>
  <c r="F35" i="3"/>
  <c r="E53" i="3" s="1"/>
  <c r="E134" i="3"/>
  <c r="F134" i="3" s="1"/>
  <c r="C134" i="3"/>
  <c r="D134" i="3" s="1"/>
  <c r="E133" i="3"/>
  <c r="F133" i="3" s="1"/>
  <c r="C133" i="3"/>
  <c r="D133" i="3" s="1"/>
  <c r="E132" i="3"/>
  <c r="F132" i="3" s="1"/>
  <c r="C132" i="3"/>
  <c r="D132" i="3" s="1"/>
  <c r="E131" i="3"/>
  <c r="F131" i="3" s="1"/>
  <c r="C131" i="3"/>
  <c r="D131" i="3" s="1"/>
  <c r="E130" i="3"/>
  <c r="F130" i="3" s="1"/>
  <c r="C130" i="3"/>
  <c r="D130" i="3" s="1"/>
  <c r="E129" i="3"/>
  <c r="F129" i="3" s="1"/>
  <c r="C129" i="3"/>
  <c r="D129" i="3" s="1"/>
  <c r="E128" i="3"/>
  <c r="F128" i="3" s="1"/>
  <c r="C128" i="3"/>
  <c r="D128" i="3" s="1"/>
  <c r="E127" i="3"/>
  <c r="F127" i="3" s="1"/>
  <c r="C127" i="3"/>
  <c r="D127" i="3" s="1"/>
  <c r="E126" i="3"/>
  <c r="F126" i="3" s="1"/>
  <c r="C126" i="3"/>
  <c r="D126" i="3" s="1"/>
  <c r="E125" i="3"/>
  <c r="F125" i="3" s="1"/>
  <c r="C125" i="3"/>
  <c r="D125" i="3" s="1"/>
  <c r="E124" i="3"/>
  <c r="F124" i="3" s="1"/>
  <c r="C124" i="3"/>
  <c r="D124" i="3" s="1"/>
  <c r="E123" i="3"/>
  <c r="F123" i="3" s="1"/>
  <c r="C123" i="3"/>
  <c r="D123" i="3" s="1"/>
  <c r="E122" i="3"/>
  <c r="F122" i="3" s="1"/>
  <c r="C122" i="3"/>
  <c r="D122" i="3" s="1"/>
  <c r="E121" i="3"/>
  <c r="F121" i="3" s="1"/>
  <c r="C121" i="3"/>
  <c r="D121" i="3" s="1"/>
  <c r="E120" i="3"/>
  <c r="F120" i="3" s="1"/>
  <c r="C120" i="3"/>
  <c r="D120" i="3" s="1"/>
  <c r="E119" i="3"/>
  <c r="F119" i="3" s="1"/>
  <c r="C119" i="3"/>
  <c r="D119" i="3" s="1"/>
  <c r="E118" i="3"/>
  <c r="F118" i="3" s="1"/>
  <c r="C118" i="3"/>
  <c r="D118" i="3" s="1"/>
  <c r="E117" i="3"/>
  <c r="F117" i="3" s="1"/>
  <c r="C117" i="3"/>
  <c r="D117" i="3" s="1"/>
  <c r="E116" i="3"/>
  <c r="F116" i="3" s="1"/>
  <c r="C116" i="3"/>
  <c r="D116" i="3" s="1"/>
  <c r="F94" i="3"/>
  <c r="E94" i="3"/>
  <c r="D94" i="3"/>
  <c r="C94" i="3"/>
  <c r="B94" i="3"/>
  <c r="F93" i="3"/>
  <c r="E93" i="3"/>
  <c r="D93" i="3"/>
  <c r="C93" i="3"/>
  <c r="B93" i="3"/>
  <c r="F92" i="3"/>
  <c r="E92" i="3"/>
  <c r="D92" i="3"/>
  <c r="C92" i="3"/>
  <c r="B92" i="3"/>
  <c r="F91" i="3"/>
  <c r="E91" i="3"/>
  <c r="B97" i="3" s="1"/>
  <c r="D91" i="3"/>
  <c r="C91" i="3"/>
  <c r="B91" i="3"/>
  <c r="B98" i="3" s="1"/>
  <c r="B99" i="3" s="1"/>
  <c r="D78" i="3"/>
  <c r="E73" i="3"/>
  <c r="D73" i="3"/>
  <c r="C73" i="3"/>
  <c r="B73" i="3"/>
  <c r="F72" i="3"/>
  <c r="E72" i="3"/>
  <c r="D72" i="3"/>
  <c r="C72" i="3"/>
  <c r="B72" i="3"/>
  <c r="F71" i="3"/>
  <c r="E71" i="3"/>
  <c r="D71" i="3"/>
  <c r="C71" i="3"/>
  <c r="B71" i="3"/>
  <c r="F70" i="3"/>
  <c r="E70" i="3"/>
  <c r="D70" i="3"/>
  <c r="C70" i="3"/>
  <c r="B70" i="3"/>
  <c r="F51" i="3"/>
  <c r="D51" i="3"/>
  <c r="E51" i="3" s="1"/>
  <c r="F50" i="3"/>
  <c r="E50" i="3"/>
  <c r="D50" i="3"/>
  <c r="F49" i="3"/>
  <c r="D49" i="3"/>
  <c r="E49" i="3" s="1"/>
  <c r="F48" i="3"/>
  <c r="E48" i="3"/>
  <c r="D48" i="3"/>
  <c r="F47" i="3"/>
  <c r="D47" i="3"/>
  <c r="E47" i="3" s="1"/>
  <c r="F46" i="3"/>
  <c r="E46" i="3"/>
  <c r="D46" i="3"/>
  <c r="F45" i="3"/>
  <c r="D45" i="3"/>
  <c r="E45" i="3" s="1"/>
  <c r="F44" i="3"/>
  <c r="E44" i="3"/>
  <c r="D44" i="3"/>
  <c r="F43" i="3"/>
  <c r="D43" i="3"/>
  <c r="E43" i="3" s="1"/>
  <c r="F42" i="3"/>
  <c r="E42" i="3"/>
  <c r="D42" i="3"/>
  <c r="F41" i="3"/>
  <c r="D41" i="3"/>
  <c r="E41" i="3" s="1"/>
  <c r="F40" i="3"/>
  <c r="E40" i="3"/>
  <c r="D40" i="3"/>
  <c r="F39" i="3"/>
  <c r="D39" i="3"/>
  <c r="E39" i="3" s="1"/>
  <c r="F38" i="3"/>
  <c r="E38" i="3"/>
  <c r="D38" i="3"/>
  <c r="F37" i="3"/>
  <c r="D37" i="3"/>
  <c r="E37" i="3" s="1"/>
  <c r="F36" i="3"/>
  <c r="E36" i="3"/>
  <c r="D36" i="3"/>
  <c r="H7" i="3"/>
  <c r="G7" i="3"/>
  <c r="F7" i="3"/>
  <c r="E7" i="3"/>
  <c r="C7" i="3"/>
  <c r="E8" i="3" s="1"/>
  <c r="F8" i="3" s="1"/>
  <c r="G8" i="3" s="1"/>
  <c r="H8" i="3" s="1"/>
  <c r="H97" i="3" l="1"/>
  <c r="G128" i="3"/>
  <c r="G120" i="3"/>
  <c r="G119" i="3"/>
  <c r="G127" i="3"/>
  <c r="G124" i="3"/>
  <c r="G123" i="3"/>
  <c r="G131" i="3"/>
  <c r="G133" i="3"/>
  <c r="G117" i="3"/>
  <c r="G118" i="3"/>
  <c r="G122" i="3"/>
  <c r="G126" i="3"/>
  <c r="G130" i="3"/>
  <c r="G132" i="3"/>
  <c r="G134" i="3"/>
  <c r="G125" i="3"/>
  <c r="G129" i="3"/>
  <c r="E54" i="3"/>
  <c r="A57" i="3" s="1"/>
  <c r="G116" i="3"/>
  <c r="H99" i="3"/>
  <c r="E104" i="3" s="1"/>
  <c r="C130" i="2"/>
  <c r="D130" i="2" s="1"/>
  <c r="E130" i="2"/>
  <c r="F130" i="2" s="1"/>
  <c r="C131" i="2"/>
  <c r="D131" i="2" s="1"/>
  <c r="E131" i="2"/>
  <c r="F131" i="2" s="1"/>
  <c r="C123" i="2"/>
  <c r="D123" i="2" s="1"/>
  <c r="E123" i="2"/>
  <c r="F123" i="2" s="1"/>
  <c r="C124" i="2"/>
  <c r="D124" i="2" s="1"/>
  <c r="E124" i="2"/>
  <c r="F124" i="2" s="1"/>
  <c r="C125" i="2"/>
  <c r="D125" i="2" s="1"/>
  <c r="E125" i="2"/>
  <c r="F125" i="2" s="1"/>
  <c r="C126" i="2"/>
  <c r="D126" i="2" s="1"/>
  <c r="E126" i="2"/>
  <c r="F126" i="2" s="1"/>
  <c r="C127" i="2"/>
  <c r="D127" i="2" s="1"/>
  <c r="E127" i="2"/>
  <c r="F127" i="2" s="1"/>
  <c r="C128" i="2"/>
  <c r="D128" i="2" s="1"/>
  <c r="E128" i="2"/>
  <c r="F128" i="2" s="1"/>
  <c r="C129" i="2"/>
  <c r="D129" i="2" s="1"/>
  <c r="E129" i="2"/>
  <c r="F129" i="2" s="1"/>
  <c r="E117" i="2"/>
  <c r="F117" i="2" s="1"/>
  <c r="E118" i="2"/>
  <c r="F118" i="2" s="1"/>
  <c r="E119" i="2"/>
  <c r="F119" i="2" s="1"/>
  <c r="E120" i="2"/>
  <c r="F120" i="2" s="1"/>
  <c r="E121" i="2"/>
  <c r="F121" i="2" s="1"/>
  <c r="E122" i="2"/>
  <c r="F122" i="2" s="1"/>
  <c r="E116" i="2"/>
  <c r="F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16" i="2"/>
  <c r="D116" i="2" s="1"/>
  <c r="G120" i="2" l="1"/>
  <c r="G121" i="2"/>
  <c r="H116" i="3"/>
  <c r="G131" i="2"/>
  <c r="G130" i="2"/>
  <c r="G122" i="2"/>
  <c r="G118" i="2"/>
  <c r="G117" i="2"/>
  <c r="G129" i="2"/>
  <c r="G127" i="2"/>
  <c r="G125" i="2"/>
  <c r="G123" i="2"/>
  <c r="G116" i="2"/>
  <c r="G126" i="2"/>
  <c r="G124" i="2"/>
  <c r="G128" i="2"/>
  <c r="G119" i="2"/>
  <c r="F94" i="2"/>
  <c r="E92" i="2"/>
  <c r="B94" i="2"/>
  <c r="C94" i="2"/>
  <c r="D94" i="2"/>
  <c r="E94" i="2"/>
  <c r="F91" i="2"/>
  <c r="B92" i="2"/>
  <c r="C92" i="2"/>
  <c r="D92" i="2"/>
  <c r="F92" i="2"/>
  <c r="B93" i="2"/>
  <c r="C93" i="2"/>
  <c r="D93" i="2"/>
  <c r="E93" i="2"/>
  <c r="F93" i="2"/>
  <c r="C91" i="2"/>
  <c r="B98" i="2" s="1"/>
  <c r="D91" i="2"/>
  <c r="E91" i="2"/>
  <c r="B91" i="2"/>
  <c r="H76" i="2"/>
  <c r="H78" i="2"/>
  <c r="D78" i="2"/>
  <c r="E73" i="2"/>
  <c r="B73" i="2"/>
  <c r="F72" i="2"/>
  <c r="E72" i="2"/>
  <c r="B72" i="2"/>
  <c r="C72" i="2"/>
  <c r="D72" i="2"/>
  <c r="C73" i="2"/>
  <c r="D73" i="2"/>
  <c r="F71" i="2"/>
  <c r="C71" i="2"/>
  <c r="D71" i="2"/>
  <c r="E71" i="2"/>
  <c r="B71" i="2"/>
  <c r="F70" i="2"/>
  <c r="C70" i="2"/>
  <c r="D70" i="2"/>
  <c r="E70" i="2"/>
  <c r="B70" i="2"/>
  <c r="I116" i="2" l="1"/>
  <c r="H117" i="3"/>
  <c r="H118" i="3" s="1"/>
  <c r="H119" i="3" s="1"/>
  <c r="H120" i="3" s="1"/>
  <c r="B97" i="2"/>
  <c r="E83" i="2"/>
  <c r="H116" i="2"/>
  <c r="H7" i="2"/>
  <c r="G7" i="2"/>
  <c r="H117" i="2" l="1"/>
  <c r="H118" i="2" s="1"/>
  <c r="J116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32" i="2"/>
  <c r="D33" i="2"/>
  <c r="E33" i="2" s="1"/>
  <c r="D34" i="2"/>
  <c r="E34" i="2" s="1"/>
  <c r="D35" i="2"/>
  <c r="E35" i="2" s="1"/>
  <c r="D36" i="2"/>
  <c r="E36" i="2" s="1"/>
  <c r="D37" i="2"/>
  <c r="E37" i="2" s="1"/>
  <c r="D38" i="2"/>
  <c r="E38" i="2" s="1"/>
  <c r="D39" i="2"/>
  <c r="E39" i="2" s="1"/>
  <c r="D40" i="2"/>
  <c r="E40" i="2" s="1"/>
  <c r="D41" i="2"/>
  <c r="E41" i="2" s="1"/>
  <c r="D42" i="2"/>
  <c r="E42" i="2" s="1"/>
  <c r="D43" i="2"/>
  <c r="E43" i="2" s="1"/>
  <c r="D44" i="2"/>
  <c r="E44" i="2" s="1"/>
  <c r="D45" i="2"/>
  <c r="E45" i="2" s="1"/>
  <c r="D46" i="2"/>
  <c r="E46" i="2" s="1"/>
  <c r="D47" i="2"/>
  <c r="E47" i="2" s="1"/>
  <c r="D48" i="2"/>
  <c r="E48" i="2" s="1"/>
  <c r="D49" i="2"/>
  <c r="E49" i="2" s="1"/>
  <c r="D50" i="2"/>
  <c r="E50" i="2" s="1"/>
  <c r="D51" i="2"/>
  <c r="E51" i="2" s="1"/>
  <c r="D32" i="2"/>
  <c r="E32" i="2" s="1"/>
  <c r="F7" i="2"/>
  <c r="E7" i="2"/>
  <c r="D7" i="2"/>
  <c r="C7" i="2"/>
  <c r="C8" i="2" s="1"/>
  <c r="D8" i="2" s="1"/>
  <c r="H119" i="2" l="1"/>
  <c r="H120" i="2" s="1"/>
  <c r="J118" i="2"/>
  <c r="J117" i="2"/>
  <c r="E52" i="2"/>
  <c r="E54" i="2" s="1"/>
  <c r="A57" i="2" s="1"/>
  <c r="E53" i="2"/>
  <c r="E8" i="2"/>
  <c r="F8" i="2" s="1"/>
  <c r="G8" i="2" s="1"/>
  <c r="H8" i="2" s="1"/>
  <c r="J119" i="2" l="1"/>
  <c r="H121" i="2"/>
  <c r="J120" i="2"/>
  <c r="B99" i="2"/>
  <c r="H122" i="2" l="1"/>
  <c r="J121" i="2"/>
  <c r="E104" i="2"/>
  <c r="H97" i="2"/>
  <c r="H99" i="2"/>
  <c r="H123" i="2" l="1"/>
  <c r="J122" i="2"/>
  <c r="H124" i="2" l="1"/>
  <c r="J123" i="2"/>
  <c r="H125" i="2" l="1"/>
  <c r="J124" i="2"/>
  <c r="G121" i="3"/>
  <c r="H121" i="3" s="1"/>
  <c r="H126" i="2" l="1"/>
  <c r="J125" i="2"/>
  <c r="I116" i="3"/>
  <c r="H122" i="3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27" i="2" l="1"/>
  <c r="J126" i="2"/>
  <c r="J116" i="3"/>
  <c r="J128" i="3"/>
  <c r="J132" i="3"/>
  <c r="J125" i="3"/>
  <c r="J129" i="3"/>
  <c r="J133" i="3"/>
  <c r="J131" i="3"/>
  <c r="J126" i="3"/>
  <c r="J130" i="3"/>
  <c r="J134" i="3"/>
  <c r="J127" i="3"/>
  <c r="J121" i="3"/>
  <c r="J117" i="3"/>
  <c r="J119" i="3"/>
  <c r="J120" i="3"/>
  <c r="J118" i="3"/>
  <c r="J124" i="3"/>
  <c r="J122" i="3"/>
  <c r="K111" i="3"/>
  <c r="L116" i="3" s="1"/>
  <c r="J123" i="3"/>
  <c r="H128" i="2" l="1"/>
  <c r="J127" i="2"/>
  <c r="K116" i="3"/>
  <c r="N116" i="3" s="1"/>
  <c r="H129" i="2" l="1"/>
  <c r="J128" i="2"/>
  <c r="M116" i="3"/>
  <c r="H130" i="2" l="1"/>
  <c r="J129" i="2"/>
  <c r="H131" i="2" l="1"/>
  <c r="J130" i="2"/>
  <c r="J131" i="2" l="1"/>
  <c r="K116" i="2" s="1"/>
  <c r="K111" i="2"/>
  <c r="L116" i="2" s="1"/>
  <c r="M116" i="2" l="1"/>
  <c r="N11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Marylone MT</author>
  </authors>
  <commentList>
    <comment ref="H35" authorId="0" shapeId="0" xr:uid="{68128C64-4B8A-4CC2-8E90-30EB92F3042E}">
      <text>
        <r>
          <rPr>
            <b/>
            <sz val="9"/>
            <color indexed="81"/>
            <rFont val="Tahoma"/>
            <family val="2"/>
          </rPr>
          <t>Marylone MT:</t>
        </r>
        <r>
          <rPr>
            <sz val="9"/>
            <color indexed="81"/>
            <rFont val="Tahoma"/>
            <family val="2"/>
          </rPr>
          <t xml:space="preserve">
La tabla de chi-cuadrado debe borrarse cada que se cambie la cantidad de clase, para eliminar valores viejos</t>
        </r>
      </text>
    </comment>
    <comment ref="A97" authorId="0" shapeId="0" xr:uid="{764B9F68-4EC8-483A-8FBC-546D7DF7070B}">
      <text>
        <r>
          <rPr>
            <b/>
            <sz val="9"/>
            <color indexed="81"/>
            <rFont val="Tahoma"/>
            <family val="2"/>
          </rPr>
          <t>Marylone MT:</t>
        </r>
        <r>
          <rPr>
            <sz val="9"/>
            <color indexed="81"/>
            <rFont val="Tahoma"/>
            <family val="2"/>
          </rPr>
          <t xml:space="preserve">
Valores por encima de la media supuesta (0.5)</t>
        </r>
      </text>
    </comment>
    <comment ref="A98" authorId="0" shapeId="0" xr:uid="{75DC82F8-1822-4E91-9D7D-81AE69924FCD}">
      <text>
        <r>
          <rPr>
            <b/>
            <sz val="9"/>
            <color indexed="81"/>
            <rFont val="Tahoma"/>
            <family val="2"/>
          </rPr>
          <t>Marylone MT:</t>
        </r>
        <r>
          <rPr>
            <sz val="9"/>
            <color indexed="81"/>
            <rFont val="Tahoma"/>
            <family val="2"/>
          </rPr>
          <t xml:space="preserve">
Valores por debajo de la media supuesta (0.5)</t>
        </r>
      </text>
    </comment>
    <comment ref="A99" authorId="0" shapeId="0" xr:uid="{4B3BA648-BA9B-4A2D-B46F-0C7A268525BD}">
      <text>
        <r>
          <rPr>
            <b/>
            <sz val="9"/>
            <color indexed="81"/>
            <rFont val="Tahoma"/>
            <family val="2"/>
          </rPr>
          <t>Marylone MT:</t>
        </r>
        <r>
          <rPr>
            <sz val="9"/>
            <color indexed="81"/>
            <rFont val="Tahoma"/>
            <family val="2"/>
          </rPr>
          <t xml:space="preserve">
Número total de rachas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Marylone MT</author>
  </authors>
  <commentList>
    <comment ref="H35" authorId="0" shapeId="0" xr:uid="{FB74A868-9893-419B-B798-F47841DDC259}">
      <text>
        <r>
          <rPr>
            <b/>
            <sz val="9"/>
            <color indexed="81"/>
            <rFont val="Tahoma"/>
            <family val="2"/>
          </rPr>
          <t>Marylone MT:</t>
        </r>
        <r>
          <rPr>
            <sz val="9"/>
            <color indexed="81"/>
            <rFont val="Tahoma"/>
            <family val="2"/>
          </rPr>
          <t xml:space="preserve">
La tabla de chi-cuadrado debe borrarse cada que se cambie la cantidad de clase, para eliminar valores viejos</t>
        </r>
      </text>
    </comment>
    <comment ref="A97" authorId="0" shapeId="0" xr:uid="{E11F4267-B50E-451F-BBBB-8DF7D2B10CBF}">
      <text>
        <r>
          <rPr>
            <b/>
            <sz val="9"/>
            <color indexed="81"/>
            <rFont val="Tahoma"/>
            <family val="2"/>
          </rPr>
          <t>Marylone MT:</t>
        </r>
        <r>
          <rPr>
            <sz val="9"/>
            <color indexed="81"/>
            <rFont val="Tahoma"/>
            <family val="2"/>
          </rPr>
          <t xml:space="preserve">
Valores por encima de la media supuesta (0.5)</t>
        </r>
      </text>
    </comment>
    <comment ref="A98" authorId="0" shapeId="0" xr:uid="{4673DB19-7B77-4DF1-8DBB-3FB39507E820}">
      <text>
        <r>
          <rPr>
            <b/>
            <sz val="9"/>
            <color indexed="81"/>
            <rFont val="Tahoma"/>
            <family val="2"/>
          </rPr>
          <t>Marylone MT:</t>
        </r>
        <r>
          <rPr>
            <sz val="9"/>
            <color indexed="81"/>
            <rFont val="Tahoma"/>
            <family val="2"/>
          </rPr>
          <t xml:space="preserve">
Valores por debajo de la media supuesta (0.5)</t>
        </r>
      </text>
    </comment>
    <comment ref="A99" authorId="0" shapeId="0" xr:uid="{AB5E77F2-30B7-4257-AEB4-558A05A47315}">
      <text>
        <r>
          <rPr>
            <b/>
            <sz val="9"/>
            <color indexed="81"/>
            <rFont val="Tahoma"/>
            <family val="2"/>
          </rPr>
          <t>Marylone MT:</t>
        </r>
        <r>
          <rPr>
            <sz val="9"/>
            <color indexed="81"/>
            <rFont val="Tahoma"/>
            <family val="2"/>
          </rPr>
          <t xml:space="preserve">
Número total de rachas</t>
        </r>
      </text>
    </comment>
  </commentList>
</comments>
</file>

<file path=xl/sharedStrings.xml><?xml version="1.0" encoding="utf-8"?>
<sst xmlns="http://schemas.openxmlformats.org/spreadsheetml/2006/main" count="187" uniqueCount="97">
  <si>
    <t>Clase</t>
  </si>
  <si>
    <t>Límite Inferior</t>
  </si>
  <si>
    <t>Límite Superior</t>
  </si>
  <si>
    <t>Prbabilidad Acumulada</t>
  </si>
  <si>
    <t>Observado</t>
  </si>
  <si>
    <t>Esperado</t>
  </si>
  <si>
    <t>Est. Clase</t>
  </si>
  <si>
    <t>Estadístico</t>
  </si>
  <si>
    <t>Como el estadístico de la prueba es menor que el teórico, se acepta la hipótesis nula, es decir, se acepta que hay uniformidad en la muestra de datos</t>
  </si>
  <si>
    <t>Defina la cantidad de clases</t>
  </si>
  <si>
    <t>Punto 1</t>
  </si>
  <si>
    <t>a</t>
  </si>
  <si>
    <t>b</t>
  </si>
  <si>
    <t>c</t>
  </si>
  <si>
    <t>d</t>
  </si>
  <si>
    <t>Punto 2</t>
  </si>
  <si>
    <t>x</t>
  </si>
  <si>
    <t>f(x)</t>
  </si>
  <si>
    <t>F(x)</t>
  </si>
  <si>
    <t>Ri</t>
  </si>
  <si>
    <t>i</t>
  </si>
  <si>
    <t>Punto 3</t>
  </si>
  <si>
    <t>i/N</t>
  </si>
  <si>
    <t>D+</t>
  </si>
  <si>
    <t>D-</t>
  </si>
  <si>
    <t>(i/N)-Ri</t>
  </si>
  <si>
    <t>Ri-[(i-1)/N)</t>
  </si>
  <si>
    <t>D-max</t>
  </si>
  <si>
    <t>D+max</t>
  </si>
  <si>
    <t>D</t>
  </si>
  <si>
    <t xml:space="preserve">De tablas D0.05,20 = </t>
  </si>
  <si>
    <t>Kolmogorov-Smirnov</t>
  </si>
  <si>
    <t>Chi-cuadrado</t>
  </si>
  <si>
    <t>PRUEBA DE HIPÓTESIS</t>
  </si>
  <si>
    <t>Ho: La secuencia de números se distribuye uniformemente entre (0,1)</t>
  </si>
  <si>
    <t>H1:  La secuencia de números  no se distribuye uniformemente entre (0,1)</t>
  </si>
  <si>
    <t>Ho: La secuencia de números es independiente.</t>
  </si>
  <si>
    <t>H1:   La secuencia de números no es independiente.</t>
  </si>
  <si>
    <t>Rachas hacia arriba y abajo</t>
  </si>
  <si>
    <t>Corridas</t>
  </si>
  <si>
    <t>Arriba</t>
  </si>
  <si>
    <t>Abajo</t>
  </si>
  <si>
    <t>Número de corridas</t>
  </si>
  <si>
    <t>A</t>
  </si>
  <si>
    <t>Número de elementos</t>
  </si>
  <si>
    <t>N</t>
  </si>
  <si>
    <t>μ</t>
  </si>
  <si>
    <t>σ_A^2</t>
  </si>
  <si>
    <t>Estadístico de prueba:</t>
  </si>
  <si>
    <t>Z</t>
  </si>
  <si>
    <t>Criterio</t>
  </si>
  <si>
    <r>
      <t>Como |Z|&lt; |Z</t>
    </r>
    <r>
      <rPr>
        <sz val="11"/>
        <color theme="1"/>
        <rFont val="Calibri"/>
        <family val="2"/>
      </rPr>
      <t>α/2|, entonces no hay sufieciente evidencia para rechazar la hipótesis nula, entonces se acepta Ho, los números se distribuyen independientemente.</t>
    </r>
  </si>
  <si>
    <t>Corridas por encima  y por debajo de la media</t>
  </si>
  <si>
    <t xml:space="preserve">Valores por encima o debajo  </t>
  </si>
  <si>
    <t>n1</t>
  </si>
  <si>
    <t>μ_B</t>
  </si>
  <si>
    <t>n2</t>
  </si>
  <si>
    <t>B</t>
  </si>
  <si>
    <t>σ_B^2</t>
  </si>
  <si>
    <t>Fórmulas del libro de Banks (Ed. 2009)</t>
  </si>
  <si>
    <t>Punto 4</t>
  </si>
  <si>
    <t>Simulación</t>
  </si>
  <si>
    <t>X1</t>
  </si>
  <si>
    <t>R2</t>
  </si>
  <si>
    <t>R1</t>
  </si>
  <si>
    <t>X2</t>
  </si>
  <si>
    <t>Ymin(X1,X2)</t>
  </si>
  <si>
    <t>Tiempo</t>
  </si>
  <si>
    <t>Uniforme</t>
  </si>
  <si>
    <t>S</t>
  </si>
  <si>
    <t>Promedio</t>
  </si>
  <si>
    <t>(Ybar-Yi)^2</t>
  </si>
  <si>
    <t>La tabla se puede ampliar hacia abajo en caso de requerir más valores</t>
  </si>
  <si>
    <t>Cantidad de datos</t>
  </si>
  <si>
    <t>Límite superior</t>
  </si>
  <si>
    <r>
      <t>Como |Z|&gt;|Z</t>
    </r>
    <r>
      <rPr>
        <sz val="11"/>
        <color theme="1"/>
        <rFont val="Calibri"/>
        <family val="2"/>
      </rPr>
      <t>α/2|, entonces se rechaza  Ho y se acepta H1, es decir los números  no se distribuyen de forma independiente.</t>
    </r>
  </si>
  <si>
    <r>
      <t>Como |Z|&lt;|Z</t>
    </r>
    <r>
      <rPr>
        <sz val="11"/>
        <color theme="1"/>
        <rFont val="Calibri"/>
        <family val="2"/>
      </rPr>
      <t>α/2|, entonces  se acepta H1 los números  no se distribuyen de forma independiente.</t>
    </r>
  </si>
  <si>
    <t>Datos</t>
  </si>
  <si>
    <t>lambda</t>
  </si>
  <si>
    <t>Tiempo medio</t>
  </si>
  <si>
    <t>RND1</t>
  </si>
  <si>
    <t>RND2</t>
  </si>
  <si>
    <t>El módulo es m</t>
  </si>
  <si>
    <t>Es la semilla  o estado inicial</t>
  </si>
  <si>
    <t>Para generar números pseudo-aleatorios</t>
  </si>
  <si>
    <t>a,b y m: Afectan la amplitu o longitud del generador y por consiguiente el periodo.</t>
  </si>
  <si>
    <t>El estadístico de la prueba es: 7.5</t>
  </si>
  <si>
    <t>El chi-cuadrado teórico es 9.49, con alfa=0.05 y (5-1) grados de libertad</t>
  </si>
  <si>
    <t>El chi-cuadrado teórico es 16.9, con alfa=0.05 y (10-1) grados de libertad</t>
  </si>
  <si>
    <t>El estadístico de la prueba es: 14</t>
  </si>
  <si>
    <t>a,b y m: Afectan la amplitud o longitud del generador y por consiguiente el periodo.</t>
  </si>
  <si>
    <t>Noten que, a pesar de que la hipótesis nula no se rechaza, la secuencia se repite después de un periodo corto, por lo que no tiene las propiedades deseadas.</t>
  </si>
  <si>
    <t>Si alguien nota que la secuencia se repite y que esto indica que no cumple con las propiedades deseadas, agregar +1 a este punto. Si sólo ponen el resultado de la prueba y la interpretan de forma correcta, el punto se califica como bueno.</t>
  </si>
  <si>
    <t>ui</t>
  </si>
  <si>
    <t>ui+1</t>
  </si>
  <si>
    <t>ri+1</t>
  </si>
  <si>
    <t>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</si>
</sst>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000000"/>
      <name val="Times New Roman"/>
      <family val="1"/>
    </font>
    <font>
      <b/>
      <sz val="16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000000"/>
      <name val="Times New Roman"/>
      <family val="1"/>
    </font>
    <font>
      <b/>
      <sz val="16"/>
      <color rgb="FF00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ABF8F"/>
      </left>
      <right style="medium">
        <color rgb="FFFABF8F"/>
      </right>
      <top style="medium">
        <color rgb="FFFABF8F"/>
      </top>
      <bottom style="thick">
        <color rgb="FFFABF8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8">
    <xf numFmtId="0" fontId="0" fillId="0" borderId="0" xfId="0"/>
    <xf numFmtId="0" fontId="6" fillId="4" borderId="0" xfId="0" applyFont="1" applyFill="1"/>
    <xf numFmtId="0" fontId="7" fillId="0" borderId="0" xfId="0" applyFont="1"/>
    <xf numFmtId="0" fontId="6" fillId="0" borderId="0" xfId="0" applyFont="1"/>
    <xf numFmtId="0" fontId="7" fillId="5" borderId="13" xfId="0" applyFont="1" applyFill="1" applyBorder="1"/>
    <xf numFmtId="0" fontId="7" fillId="5" borderId="0" xfId="0" applyFont="1" applyFill="1" applyBorder="1"/>
    <xf numFmtId="0" fontId="7" fillId="5" borderId="14" xfId="0" applyFont="1" applyFill="1" applyBorder="1"/>
    <xf numFmtId="0" fontId="7" fillId="5" borderId="15" xfId="0" applyFont="1" applyFill="1" applyBorder="1"/>
    <xf numFmtId="0" fontId="7" fillId="5" borderId="16" xfId="0" applyFont="1" applyFill="1" applyBorder="1"/>
    <xf numFmtId="0" fontId="7" fillId="5" borderId="17" xfId="0" applyFont="1" applyFill="1" applyBorder="1"/>
    <xf numFmtId="0" fontId="8" fillId="0" borderId="0" xfId="0" applyFont="1"/>
    <xf numFmtId="0" fontId="6" fillId="0" borderId="7" xfId="0" applyFont="1" applyBorder="1" applyAlignment="1">
      <alignment horizontal="center"/>
    </xf>
    <xf numFmtId="0" fontId="6" fillId="0" borderId="1" xfId="0" applyFont="1" applyBorder="1"/>
    <xf numFmtId="0" fontId="7" fillId="0" borderId="8" xfId="0" applyFont="1" applyBorder="1"/>
    <xf numFmtId="0" fontId="7" fillId="0" borderId="2" xfId="0" applyFont="1" applyBorder="1"/>
    <xf numFmtId="0" fontId="6" fillId="0" borderId="3" xfId="0" applyFont="1" applyBorder="1"/>
    <xf numFmtId="0" fontId="7" fillId="0" borderId="7" xfId="0" applyFont="1" applyBorder="1"/>
    <xf numFmtId="0" fontId="7" fillId="0" borderId="4" xfId="0" applyFont="1" applyBorder="1"/>
    <xf numFmtId="0" fontId="7" fillId="0" borderId="7" xfId="0" applyFont="1" applyBorder="1" applyAlignment="1">
      <alignment horizontal="center" vertical="center"/>
    </xf>
    <xf numFmtId="0" fontId="7" fillId="2" borderId="0" xfId="0" applyFont="1" applyFill="1"/>
    <xf numFmtId="0" fontId="6" fillId="0" borderId="5" xfId="0" applyFont="1" applyBorder="1"/>
    <xf numFmtId="0" fontId="7" fillId="0" borderId="9" xfId="0" applyFont="1" applyBorder="1"/>
    <xf numFmtId="0" fontId="6" fillId="0" borderId="9" xfId="0" applyFont="1" applyBorder="1"/>
    <xf numFmtId="0" fontId="6" fillId="0" borderId="6" xfId="0" applyFont="1" applyBorder="1"/>
    <xf numFmtId="0" fontId="7" fillId="3" borderId="0" xfId="0" applyFont="1" applyFill="1" applyAlignment="1">
      <alignment horizontal="left" vertical="top"/>
    </xf>
    <xf numFmtId="0" fontId="6" fillId="0" borderId="7" xfId="0" applyFont="1" applyBorder="1"/>
    <xf numFmtId="0" fontId="9" fillId="0" borderId="7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center" vertical="center" wrapText="1"/>
    </xf>
    <xf numFmtId="0" fontId="7" fillId="5" borderId="7" xfId="0" applyFont="1" applyFill="1" applyBorder="1"/>
    <xf numFmtId="0" fontId="7" fillId="5" borderId="0" xfId="0" applyFont="1" applyFill="1"/>
    <xf numFmtId="0" fontId="6" fillId="5" borderId="1" xfId="0" applyFont="1" applyFill="1" applyBorder="1" applyAlignment="1">
      <alignment horizontal="center"/>
    </xf>
    <xf numFmtId="2" fontId="7" fillId="7" borderId="2" xfId="0" applyNumberFormat="1" applyFont="1" applyFill="1" applyBorder="1" applyAlignment="1">
      <alignment horizontal="center"/>
    </xf>
    <xf numFmtId="0" fontId="6" fillId="5" borderId="7" xfId="0" applyFont="1" applyFill="1" applyBorder="1"/>
    <xf numFmtId="0" fontId="7" fillId="5" borderId="21" xfId="0" applyFont="1" applyFill="1" applyBorder="1" applyAlignment="1">
      <alignment horizontal="center"/>
    </xf>
    <xf numFmtId="0" fontId="7" fillId="5" borderId="22" xfId="0" applyFont="1" applyFill="1" applyBorder="1"/>
    <xf numFmtId="0" fontId="6" fillId="5" borderId="20" xfId="0" applyFont="1" applyFill="1" applyBorder="1"/>
    <xf numFmtId="0" fontId="6" fillId="5" borderId="5" xfId="0" applyFont="1" applyFill="1" applyBorder="1" applyAlignment="1">
      <alignment horizontal="center"/>
    </xf>
    <xf numFmtId="2" fontId="7" fillId="7" borderId="6" xfId="0" applyNumberFormat="1" applyFont="1" applyFill="1" applyBorder="1" applyAlignment="1">
      <alignment horizontal="center"/>
    </xf>
    <xf numFmtId="0" fontId="7" fillId="0" borderId="0" xfId="0" applyFont="1" applyFill="1" applyBorder="1"/>
    <xf numFmtId="0" fontId="7" fillId="0" borderId="0" xfId="0" applyFont="1" applyFill="1"/>
    <xf numFmtId="0" fontId="6" fillId="5" borderId="0" xfId="0" applyFont="1" applyFill="1"/>
    <xf numFmtId="0" fontId="6" fillId="5" borderId="7" xfId="0" applyFont="1" applyFill="1" applyBorder="1" applyAlignment="1">
      <alignment horizontal="center"/>
    </xf>
    <xf numFmtId="0" fontId="7" fillId="7" borderId="7" xfId="0" applyFont="1" applyFill="1" applyBorder="1"/>
    <xf numFmtId="0" fontId="8" fillId="0" borderId="0" xfId="0" applyFont="1" applyFill="1"/>
    <xf numFmtId="0" fontId="10" fillId="6" borderId="19" xfId="0" applyFont="1" applyFill="1" applyBorder="1" applyAlignment="1">
      <alignment horizontal="center" vertical="center" wrapText="1"/>
    </xf>
    <xf numFmtId="0" fontId="10" fillId="5" borderId="19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2" fontId="7" fillId="9" borderId="2" xfId="0" applyNumberFormat="1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2" fontId="7" fillId="9" borderId="6" xfId="0" applyNumberFormat="1" applyFont="1" applyFill="1" applyBorder="1" applyAlignment="1">
      <alignment horizontal="center"/>
    </xf>
    <xf numFmtId="2" fontId="7" fillId="7" borderId="7" xfId="0" applyNumberFormat="1" applyFont="1" applyFill="1" applyBorder="1" applyAlignment="1">
      <alignment horizontal="center"/>
    </xf>
    <xf numFmtId="0" fontId="6" fillId="0" borderId="18" xfId="0" applyFont="1" applyBorder="1"/>
    <xf numFmtId="0" fontId="7" fillId="0" borderId="3" xfId="0" applyFont="1" applyBorder="1" applyAlignment="1">
      <alignment horizontal="center" vertical="top"/>
    </xf>
    <xf numFmtId="2" fontId="7" fillId="0" borderId="7" xfId="0" applyNumberFormat="1" applyFont="1" applyBorder="1" applyAlignment="1">
      <alignment horizontal="center" vertical="top"/>
    </xf>
    <xf numFmtId="2" fontId="6" fillId="0" borderId="7" xfId="0" applyNumberFormat="1" applyFont="1" applyBorder="1" applyAlignment="1">
      <alignment horizontal="center" vertical="top"/>
    </xf>
    <xf numFmtId="2" fontId="7" fillId="0" borderId="4" xfId="0" applyNumberFormat="1" applyFont="1" applyBorder="1" applyAlignment="1">
      <alignment horizontal="center" vertical="top"/>
    </xf>
    <xf numFmtId="0" fontId="7" fillId="0" borderId="5" xfId="0" applyFont="1" applyBorder="1" applyAlignment="1">
      <alignment horizontal="center" vertical="top"/>
    </xf>
    <xf numFmtId="2" fontId="7" fillId="0" borderId="9" xfId="0" applyNumberFormat="1" applyFont="1" applyBorder="1" applyAlignment="1">
      <alignment horizontal="center" vertical="top"/>
    </xf>
    <xf numFmtId="2" fontId="6" fillId="0" borderId="9" xfId="0" applyNumberFormat="1" applyFont="1" applyBorder="1" applyAlignment="1">
      <alignment horizontal="center" vertical="top"/>
    </xf>
    <xf numFmtId="2" fontId="7" fillId="0" borderId="6" xfId="0" applyNumberFormat="1" applyFont="1" applyBorder="1" applyAlignment="1">
      <alignment horizontal="center" vertical="top"/>
    </xf>
    <xf numFmtId="2" fontId="7" fillId="0" borderId="0" xfId="0" applyNumberFormat="1" applyFont="1" applyFill="1" applyBorder="1"/>
    <xf numFmtId="0" fontId="6" fillId="0" borderId="27" xfId="0" applyFont="1" applyBorder="1"/>
    <xf numFmtId="0" fontId="6" fillId="0" borderId="28" xfId="0" applyFont="1" applyBorder="1" applyAlignment="1">
      <alignment horizontal="center" vertical="top"/>
    </xf>
    <xf numFmtId="0" fontId="6" fillId="0" borderId="29" xfId="0" applyFont="1" applyBorder="1" applyAlignment="1">
      <alignment horizontal="center" vertical="top"/>
    </xf>
    <xf numFmtId="0" fontId="6" fillId="0" borderId="30" xfId="0" applyFont="1" applyBorder="1" applyAlignment="1">
      <alignment horizontal="center" vertical="top"/>
    </xf>
    <xf numFmtId="0" fontId="7" fillId="0" borderId="1" xfId="0" applyFont="1" applyBorder="1" applyAlignment="1">
      <alignment horizontal="center" vertical="top"/>
    </xf>
    <xf numFmtId="2" fontId="7" fillId="0" borderId="8" xfId="0" applyNumberFormat="1" applyFont="1" applyBorder="1" applyAlignment="1">
      <alignment horizontal="center" vertical="top"/>
    </xf>
    <xf numFmtId="2" fontId="6" fillId="0" borderId="8" xfId="0" applyNumberFormat="1" applyFont="1" applyBorder="1" applyAlignment="1">
      <alignment horizontal="center" vertical="top"/>
    </xf>
    <xf numFmtId="2" fontId="7" fillId="0" borderId="2" xfId="0" applyNumberFormat="1" applyFont="1" applyBorder="1" applyAlignment="1">
      <alignment horizontal="center" vertical="top"/>
    </xf>
    <xf numFmtId="0" fontId="7" fillId="0" borderId="31" xfId="0" applyFont="1" applyBorder="1"/>
    <xf numFmtId="0" fontId="1" fillId="0" borderId="1" xfId="0" applyFont="1" applyBorder="1"/>
    <xf numFmtId="0" fontId="1" fillId="0" borderId="2" xfId="0" applyFont="1" applyBorder="1"/>
    <xf numFmtId="2" fontId="7" fillId="0" borderId="34" xfId="0" applyNumberFormat="1" applyFont="1" applyBorder="1"/>
    <xf numFmtId="2" fontId="7" fillId="0" borderId="35" xfId="0" applyNumberFormat="1" applyFont="1" applyBorder="1"/>
    <xf numFmtId="0" fontId="7" fillId="0" borderId="35" xfId="0" applyFont="1" applyBorder="1"/>
    <xf numFmtId="0" fontId="7" fillId="0" borderId="36" xfId="0" applyFont="1" applyBorder="1"/>
    <xf numFmtId="0" fontId="11" fillId="4" borderId="0" xfId="0" applyFont="1" applyFill="1"/>
    <xf numFmtId="0" fontId="12" fillId="0" borderId="0" xfId="0" applyFont="1"/>
    <xf numFmtId="0" fontId="11" fillId="0" borderId="0" xfId="0" applyFont="1"/>
    <xf numFmtId="0" fontId="11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12" fillId="5" borderId="13" xfId="0" applyFont="1" applyFill="1" applyBorder="1"/>
    <xf numFmtId="0" fontId="12" fillId="5" borderId="0" xfId="0" applyFont="1" applyFill="1" applyBorder="1"/>
    <xf numFmtId="0" fontId="12" fillId="5" borderId="14" xfId="0" applyFont="1" applyFill="1" applyBorder="1"/>
    <xf numFmtId="0" fontId="12" fillId="5" borderId="15" xfId="0" applyFont="1" applyFill="1" applyBorder="1"/>
    <xf numFmtId="0" fontId="12" fillId="5" borderId="16" xfId="0" applyFont="1" applyFill="1" applyBorder="1"/>
    <xf numFmtId="0" fontId="12" fillId="5" borderId="17" xfId="0" applyFont="1" applyFill="1" applyBorder="1"/>
    <xf numFmtId="0" fontId="13" fillId="0" borderId="0" xfId="0" applyFont="1"/>
    <xf numFmtId="0" fontId="11" fillId="0" borderId="7" xfId="0" applyFont="1" applyBorder="1" applyAlignment="1">
      <alignment horizontal="center"/>
    </xf>
    <xf numFmtId="0" fontId="11" fillId="0" borderId="1" xfId="0" applyFont="1" applyBorder="1"/>
    <xf numFmtId="0" fontId="12" fillId="0" borderId="8" xfId="0" applyFont="1" applyBorder="1"/>
    <xf numFmtId="0" fontId="12" fillId="0" borderId="2" xfId="0" applyFont="1" applyBorder="1"/>
    <xf numFmtId="0" fontId="11" fillId="0" borderId="3" xfId="0" applyFont="1" applyBorder="1"/>
    <xf numFmtId="0" fontId="12" fillId="0" borderId="7" xfId="0" applyFont="1" applyBorder="1"/>
    <xf numFmtId="0" fontId="12" fillId="0" borderId="4" xfId="0" applyFont="1" applyBorder="1"/>
    <xf numFmtId="0" fontId="12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 vertical="center"/>
    </xf>
    <xf numFmtId="0" fontId="12" fillId="2" borderId="0" xfId="0" applyFont="1" applyFill="1"/>
    <xf numFmtId="0" fontId="11" fillId="0" borderId="5" xfId="0" applyFont="1" applyBorder="1"/>
    <xf numFmtId="0" fontId="12" fillId="0" borderId="9" xfId="0" applyFont="1" applyBorder="1"/>
    <xf numFmtId="0" fontId="11" fillId="0" borderId="9" xfId="0" applyFont="1" applyBorder="1"/>
    <xf numFmtId="0" fontId="11" fillId="0" borderId="6" xfId="0" applyFont="1" applyBorder="1"/>
    <xf numFmtId="0" fontId="12" fillId="3" borderId="0" xfId="0" applyFont="1" applyFill="1" applyAlignment="1">
      <alignment horizontal="left" vertical="top"/>
    </xf>
    <xf numFmtId="0" fontId="11" fillId="0" borderId="7" xfId="0" applyFont="1" applyBorder="1"/>
    <xf numFmtId="0" fontId="12" fillId="0" borderId="0" xfId="0" applyFont="1" applyFill="1" applyBorder="1"/>
    <xf numFmtId="0" fontId="14" fillId="0" borderId="7" xfId="0" applyFont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right" vertical="center" wrapText="1"/>
    </xf>
    <xf numFmtId="0" fontId="15" fillId="4" borderId="19" xfId="0" applyFont="1" applyFill="1" applyBorder="1" applyAlignment="1">
      <alignment horizontal="center" vertical="center" wrapText="1"/>
    </xf>
    <xf numFmtId="0" fontId="15" fillId="5" borderId="19" xfId="0" applyFont="1" applyFill="1" applyBorder="1" applyAlignment="1">
      <alignment horizontal="center" vertical="center" wrapText="1"/>
    </xf>
    <xf numFmtId="0" fontId="12" fillId="5" borderId="7" xfId="0" applyFont="1" applyFill="1" applyBorder="1"/>
    <xf numFmtId="0" fontId="12" fillId="5" borderId="0" xfId="0" applyFont="1" applyFill="1"/>
    <xf numFmtId="0" fontId="11" fillId="5" borderId="1" xfId="0" applyFont="1" applyFill="1" applyBorder="1" applyAlignment="1">
      <alignment horizontal="center"/>
    </xf>
    <xf numFmtId="2" fontId="12" fillId="7" borderId="2" xfId="0" applyNumberFormat="1" applyFont="1" applyFill="1" applyBorder="1" applyAlignment="1">
      <alignment horizontal="center"/>
    </xf>
    <xf numFmtId="0" fontId="11" fillId="5" borderId="7" xfId="0" applyFont="1" applyFill="1" applyBorder="1"/>
    <xf numFmtId="0" fontId="12" fillId="5" borderId="21" xfId="0" applyFont="1" applyFill="1" applyBorder="1" applyAlignment="1">
      <alignment horizontal="center"/>
    </xf>
    <xf numFmtId="0" fontId="12" fillId="5" borderId="22" xfId="0" applyFont="1" applyFill="1" applyBorder="1"/>
    <xf numFmtId="0" fontId="11" fillId="5" borderId="20" xfId="0" applyFont="1" applyFill="1" applyBorder="1"/>
    <xf numFmtId="0" fontId="11" fillId="5" borderId="5" xfId="0" applyFont="1" applyFill="1" applyBorder="1" applyAlignment="1">
      <alignment horizontal="center"/>
    </xf>
    <xf numFmtId="2" fontId="12" fillId="7" borderId="6" xfId="0" applyNumberFormat="1" applyFont="1" applyFill="1" applyBorder="1" applyAlignment="1">
      <alignment horizontal="center"/>
    </xf>
    <xf numFmtId="0" fontId="12" fillId="0" borderId="0" xfId="0" applyFont="1" applyFill="1"/>
    <xf numFmtId="0" fontId="11" fillId="5" borderId="0" xfId="0" applyFont="1" applyFill="1"/>
    <xf numFmtId="0" fontId="11" fillId="5" borderId="7" xfId="0" applyFont="1" applyFill="1" applyBorder="1" applyAlignment="1">
      <alignment horizontal="center"/>
    </xf>
    <xf numFmtId="0" fontId="12" fillId="7" borderId="7" xfId="0" applyFont="1" applyFill="1" applyBorder="1"/>
    <xf numFmtId="0" fontId="13" fillId="0" borderId="0" xfId="0" applyFont="1" applyFill="1"/>
    <xf numFmtId="0" fontId="15" fillId="0" borderId="0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/>
    </xf>
    <xf numFmtId="2" fontId="12" fillId="9" borderId="2" xfId="0" applyNumberFormat="1" applyFont="1" applyFill="1" applyBorder="1" applyAlignment="1">
      <alignment horizontal="center"/>
    </xf>
    <xf numFmtId="0" fontId="11" fillId="0" borderId="5" xfId="0" applyFont="1" applyBorder="1" applyAlignment="1">
      <alignment horizontal="center"/>
    </xf>
    <xf numFmtId="2" fontId="12" fillId="9" borderId="6" xfId="0" applyNumberFormat="1" applyFont="1" applyFill="1" applyBorder="1" applyAlignment="1">
      <alignment horizontal="center"/>
    </xf>
    <xf numFmtId="2" fontId="12" fillId="7" borderId="7" xfId="0" applyNumberFormat="1" applyFont="1" applyFill="1" applyBorder="1" applyAlignment="1">
      <alignment horizontal="center"/>
    </xf>
    <xf numFmtId="0" fontId="12" fillId="0" borderId="1" xfId="0" applyFont="1" applyBorder="1" applyAlignment="1">
      <alignment vertical="center"/>
    </xf>
    <xf numFmtId="0" fontId="12" fillId="0" borderId="2" xfId="0" applyFont="1" applyBorder="1" applyAlignment="1">
      <alignment horizontal="right" vertical="center"/>
    </xf>
    <xf numFmtId="0" fontId="12" fillId="0" borderId="5" xfId="0" applyFont="1" applyBorder="1" applyAlignment="1">
      <alignment vertical="center"/>
    </xf>
    <xf numFmtId="2" fontId="12" fillId="0" borderId="6" xfId="0" applyNumberFormat="1" applyFont="1" applyBorder="1" applyAlignment="1">
      <alignment horizontal="right" vertical="center"/>
    </xf>
    <xf numFmtId="0" fontId="12" fillId="0" borderId="0" xfId="0" applyFont="1" applyBorder="1"/>
    <xf numFmtId="0" fontId="11" fillId="0" borderId="28" xfId="0" applyFont="1" applyBorder="1" applyAlignment="1">
      <alignment horizontal="center" vertical="top"/>
    </xf>
    <xf numFmtId="0" fontId="11" fillId="0" borderId="29" xfId="0" applyFont="1" applyBorder="1" applyAlignment="1">
      <alignment horizontal="center" vertical="top"/>
    </xf>
    <xf numFmtId="0" fontId="11" fillId="0" borderId="30" xfId="0" applyFont="1" applyBorder="1" applyAlignment="1">
      <alignment horizontal="center" vertical="top"/>
    </xf>
    <xf numFmtId="0" fontId="11" fillId="0" borderId="18" xfId="0" applyFont="1" applyBorder="1"/>
    <xf numFmtId="0" fontId="11" fillId="0" borderId="27" xfId="0" applyFont="1" applyBorder="1"/>
    <xf numFmtId="0" fontId="12" fillId="0" borderId="31" xfId="0" applyFont="1" applyBorder="1"/>
    <xf numFmtId="0" fontId="11" fillId="0" borderId="2" xfId="0" applyFont="1" applyBorder="1"/>
    <xf numFmtId="0" fontId="12" fillId="0" borderId="1" xfId="0" applyFont="1" applyBorder="1" applyAlignment="1">
      <alignment horizontal="center" vertical="top"/>
    </xf>
    <xf numFmtId="2" fontId="12" fillId="0" borderId="8" xfId="0" applyNumberFormat="1" applyFont="1" applyBorder="1" applyAlignment="1">
      <alignment horizontal="center" vertical="top"/>
    </xf>
    <xf numFmtId="2" fontId="11" fillId="0" borderId="8" xfId="0" applyNumberFormat="1" applyFont="1" applyBorder="1" applyAlignment="1">
      <alignment horizontal="center" vertical="top"/>
    </xf>
    <xf numFmtId="2" fontId="12" fillId="0" borderId="2" xfId="0" applyNumberFormat="1" applyFont="1" applyBorder="1" applyAlignment="1">
      <alignment horizontal="center" vertical="top"/>
    </xf>
    <xf numFmtId="2" fontId="12" fillId="0" borderId="34" xfId="0" applyNumberFormat="1" applyFont="1" applyBorder="1"/>
    <xf numFmtId="0" fontId="12" fillId="0" borderId="3" xfId="0" applyFont="1" applyBorder="1" applyAlignment="1">
      <alignment horizontal="center" vertical="top"/>
    </xf>
    <xf numFmtId="2" fontId="12" fillId="0" borderId="7" xfId="0" applyNumberFormat="1" applyFont="1" applyBorder="1" applyAlignment="1">
      <alignment horizontal="center" vertical="top"/>
    </xf>
    <xf numFmtId="2" fontId="11" fillId="0" borderId="7" xfId="0" applyNumberFormat="1" applyFont="1" applyBorder="1" applyAlignment="1">
      <alignment horizontal="center" vertical="top"/>
    </xf>
    <xf numFmtId="2" fontId="12" fillId="0" borderId="4" xfId="0" applyNumberFormat="1" applyFont="1" applyBorder="1" applyAlignment="1">
      <alignment horizontal="center" vertical="top"/>
    </xf>
    <xf numFmtId="2" fontId="12" fillId="0" borderId="35" xfId="0" applyNumberFormat="1" applyFont="1" applyBorder="1"/>
    <xf numFmtId="0" fontId="12" fillId="0" borderId="35" xfId="0" applyFont="1" applyBorder="1"/>
    <xf numFmtId="0" fontId="12" fillId="0" borderId="5" xfId="0" applyFont="1" applyBorder="1" applyAlignment="1">
      <alignment horizontal="center" vertical="top"/>
    </xf>
    <xf numFmtId="2" fontId="12" fillId="0" borderId="9" xfId="0" applyNumberFormat="1" applyFont="1" applyBorder="1" applyAlignment="1">
      <alignment horizontal="center" vertical="top"/>
    </xf>
    <xf numFmtId="2" fontId="11" fillId="0" borderId="9" xfId="0" applyNumberFormat="1" applyFont="1" applyBorder="1" applyAlignment="1">
      <alignment horizontal="center" vertical="top"/>
    </xf>
    <xf numFmtId="2" fontId="12" fillId="0" borderId="6" xfId="0" applyNumberFormat="1" applyFont="1" applyBorder="1" applyAlignment="1">
      <alignment horizontal="center" vertical="top"/>
    </xf>
    <xf numFmtId="0" fontId="12" fillId="0" borderId="36" xfId="0" applyFont="1" applyBorder="1"/>
    <xf numFmtId="2" fontId="12" fillId="0" borderId="0" xfId="0" applyNumberFormat="1" applyFont="1" applyFill="1" applyBorder="1"/>
    <xf numFmtId="164" fontId="12" fillId="9" borderId="3" xfId="0" applyNumberFormat="1" applyFont="1" applyFill="1" applyBorder="1" applyAlignment="1">
      <alignment horizontal="center" vertical="center"/>
    </xf>
    <xf numFmtId="164" fontId="12" fillId="9" borderId="5" xfId="0" applyNumberFormat="1" applyFont="1" applyFill="1" applyBorder="1" applyAlignment="1">
      <alignment horizontal="center" vertical="center"/>
    </xf>
    <xf numFmtId="164" fontId="12" fillId="9" borderId="4" xfId="0" applyNumberFormat="1" applyFont="1" applyFill="1" applyBorder="1" applyAlignment="1">
      <alignment horizontal="center" vertical="center"/>
    </xf>
    <xf numFmtId="164" fontId="12" fillId="9" borderId="6" xfId="0" applyNumberFormat="1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2" fillId="8" borderId="0" xfId="0" applyFont="1" applyFill="1" applyAlignment="1">
      <alignment horizontal="center" wrapText="1"/>
    </xf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2" fillId="8" borderId="0" xfId="0" applyFont="1" applyFill="1" applyAlignment="1">
      <alignment horizontal="center" vertical="center" wrapText="1"/>
    </xf>
    <xf numFmtId="2" fontId="12" fillId="0" borderId="27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2" fontId="12" fillId="0" borderId="25" xfId="0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1" fillId="5" borderId="10" xfId="0" applyFont="1" applyFill="1" applyBorder="1" applyAlignment="1">
      <alignment horizontal="center"/>
    </xf>
    <xf numFmtId="0" fontId="11" fillId="5" borderId="11" xfId="0" applyFont="1" applyFill="1" applyBorder="1" applyAlignment="1">
      <alignment horizontal="center"/>
    </xf>
    <xf numFmtId="0" fontId="11" fillId="5" borderId="12" xfId="0" applyFont="1" applyFill="1" applyBorder="1" applyAlignment="1">
      <alignment horizontal="center"/>
    </xf>
    <xf numFmtId="0" fontId="12" fillId="3" borderId="0" xfId="0" applyFont="1" applyFill="1" applyAlignment="1">
      <alignment horizontal="left" vertical="top" wrapText="1"/>
    </xf>
    <xf numFmtId="0" fontId="12" fillId="0" borderId="7" xfId="0" applyFont="1" applyBorder="1" applyAlignment="1">
      <alignment horizontal="center"/>
    </xf>
    <xf numFmtId="0" fontId="7" fillId="3" borderId="0" xfId="0" applyFont="1" applyFill="1" applyAlignment="1">
      <alignment horizontal="left" vertical="top" wrapText="1"/>
    </xf>
    <xf numFmtId="0" fontId="6" fillId="5" borderId="10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 wrapText="1"/>
    </xf>
    <xf numFmtId="2" fontId="7" fillId="0" borderId="27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2" fontId="7" fillId="0" borderId="25" xfId="0" applyNumberFormat="1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" fillId="8" borderId="0" xfId="0" applyFont="1" applyFill="1" applyAlignment="1">
      <alignment horizontal="center" wrapText="1"/>
    </xf>
    <xf numFmtId="0" fontId="7" fillId="0" borderId="23" xfId="0" applyFont="1" applyBorder="1" applyAlignment="1">
      <alignment horizontal="center"/>
    </xf>
    <xf numFmtId="0" fontId="7" fillId="0" borderId="24" xfId="0" applyFont="1" applyBorder="1" applyAlignment="1">
      <alignment horizontal="center"/>
    </xf>
    <xf numFmtId="164" fontId="7" fillId="9" borderId="3" xfId="0" applyNumberFormat="1" applyFont="1" applyFill="1" applyBorder="1" applyAlignment="1">
      <alignment horizontal="center" vertical="center"/>
    </xf>
    <xf numFmtId="164" fontId="7" fillId="9" borderId="5" xfId="0" applyNumberFormat="1" applyFont="1" applyFill="1" applyBorder="1" applyAlignment="1">
      <alignment horizontal="center" vertical="center"/>
    </xf>
    <xf numFmtId="164" fontId="7" fillId="9" borderId="4" xfId="0" applyNumberFormat="1" applyFont="1" applyFill="1" applyBorder="1" applyAlignment="1">
      <alignment horizontal="center" vertical="center"/>
    </xf>
    <xf numFmtId="164" fontId="7" fillId="9" borderId="6" xfId="0" applyNumberFormat="1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/>
    </xf>
    <xf numFmtId="0" fontId="0" fillId="0" borderId="0" xfId="0" applyFont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Tema1!$I$45:$I$63</c:f>
              <c:numCache>
                <c:formatCode>General</c:formatCode>
                <c:ptCount val="19"/>
                <c:pt idx="0">
                  <c:v>3.7699999999999997E-2</c:v>
                </c:pt>
                <c:pt idx="1">
                  <c:v>7.5499999999999998E-2</c:v>
                </c:pt>
                <c:pt idx="2">
                  <c:v>0.16980000000000001</c:v>
                </c:pt>
                <c:pt idx="3">
                  <c:v>0.18870000000000001</c:v>
                </c:pt>
                <c:pt idx="4">
                  <c:v>0.32079999999999997</c:v>
                </c:pt>
                <c:pt idx="5">
                  <c:v>0.37740000000000001</c:v>
                </c:pt>
                <c:pt idx="6">
                  <c:v>0.45279999999999998</c:v>
                </c:pt>
                <c:pt idx="7">
                  <c:v>0.6038</c:v>
                </c:pt>
                <c:pt idx="8">
                  <c:v>0.62260000000000004</c:v>
                </c:pt>
                <c:pt idx="9">
                  <c:v>0.67920000000000003</c:v>
                </c:pt>
                <c:pt idx="10">
                  <c:v>0.69810000000000005</c:v>
                </c:pt>
                <c:pt idx="11">
                  <c:v>0.71699999999999997</c:v>
                </c:pt>
                <c:pt idx="12">
                  <c:v>0.75470000000000004</c:v>
                </c:pt>
                <c:pt idx="13">
                  <c:v>0.77359999999999995</c:v>
                </c:pt>
                <c:pt idx="14">
                  <c:v>0.79249999999999998</c:v>
                </c:pt>
                <c:pt idx="15">
                  <c:v>0.84909999999999997</c:v>
                </c:pt>
                <c:pt idx="16">
                  <c:v>0.90569999999999995</c:v>
                </c:pt>
                <c:pt idx="17">
                  <c:v>0.94340000000000002</c:v>
                </c:pt>
                <c:pt idx="18">
                  <c:v>0.96230000000000004</c:v>
                </c:pt>
              </c:numCache>
            </c:numRef>
          </c:xVal>
          <c:yVal>
            <c:numRef>
              <c:f>Tema1!$J$45:$J$63</c:f>
              <c:numCache>
                <c:formatCode>General</c:formatCode>
                <c:ptCount val="19"/>
                <c:pt idx="0">
                  <c:v>7.5499999999999998E-2</c:v>
                </c:pt>
                <c:pt idx="1">
                  <c:v>0.16980000000000001</c:v>
                </c:pt>
                <c:pt idx="2">
                  <c:v>0.18870000000000001</c:v>
                </c:pt>
                <c:pt idx="3">
                  <c:v>0.32079999999999997</c:v>
                </c:pt>
                <c:pt idx="4">
                  <c:v>0.37740000000000001</c:v>
                </c:pt>
                <c:pt idx="5">
                  <c:v>0.45279999999999998</c:v>
                </c:pt>
                <c:pt idx="6">
                  <c:v>0.6038</c:v>
                </c:pt>
                <c:pt idx="7">
                  <c:v>0.62260000000000004</c:v>
                </c:pt>
                <c:pt idx="8">
                  <c:v>0.67920000000000003</c:v>
                </c:pt>
                <c:pt idx="9">
                  <c:v>0.69810000000000005</c:v>
                </c:pt>
                <c:pt idx="10">
                  <c:v>0.71699999999999997</c:v>
                </c:pt>
                <c:pt idx="11">
                  <c:v>0.75470000000000004</c:v>
                </c:pt>
                <c:pt idx="12">
                  <c:v>0.77359999999999995</c:v>
                </c:pt>
                <c:pt idx="13">
                  <c:v>0.79249999999999998</c:v>
                </c:pt>
                <c:pt idx="14">
                  <c:v>0.84909999999999997</c:v>
                </c:pt>
                <c:pt idx="15">
                  <c:v>0.90569999999999995</c:v>
                </c:pt>
                <c:pt idx="16">
                  <c:v>0.94340000000000002</c:v>
                </c:pt>
                <c:pt idx="17">
                  <c:v>0.96230000000000004</c:v>
                </c:pt>
                <c:pt idx="18">
                  <c:v>0.98109999999999997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E4-45FE-BEBA-B9520F3D9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947743"/>
        <c:axId val="483250751"/>
      </c:scatterChart>
      <c:valAx>
        <c:axId val="408947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ui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3250751"/>
        <c:crosses val="autoZero"/>
        <c:crossBetween val="midCat"/>
      </c:valAx>
      <c:valAx>
        <c:axId val="483250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ui+1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08947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Tema2!$J$43</c:f>
              <c:strCache>
                <c:ptCount val="1"/>
                <c:pt idx="0">
                  <c:v>ri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Tema2!$I$44:$I$62</c:f>
              <c:numCache>
                <c:formatCode>General</c:formatCode>
                <c:ptCount val="19"/>
                <c:pt idx="0">
                  <c:v>0.25580000000000003</c:v>
                </c:pt>
                <c:pt idx="1">
                  <c:v>0.25580000000000003</c:v>
                </c:pt>
                <c:pt idx="2">
                  <c:v>0.3488</c:v>
                </c:pt>
                <c:pt idx="3">
                  <c:v>0.37209999999999999</c:v>
                </c:pt>
                <c:pt idx="4">
                  <c:v>0.39529999999999998</c:v>
                </c:pt>
                <c:pt idx="5">
                  <c:v>0.39529999999999998</c:v>
                </c:pt>
                <c:pt idx="6">
                  <c:v>0.44190000000000002</c:v>
                </c:pt>
                <c:pt idx="7">
                  <c:v>0.46510000000000001</c:v>
                </c:pt>
                <c:pt idx="8">
                  <c:v>0.46510000000000001</c:v>
                </c:pt>
                <c:pt idx="9">
                  <c:v>0.62790000000000001</c:v>
                </c:pt>
                <c:pt idx="10">
                  <c:v>0.6512</c:v>
                </c:pt>
                <c:pt idx="11">
                  <c:v>0.69769999999999999</c:v>
                </c:pt>
                <c:pt idx="12">
                  <c:v>0.72089999999999999</c:v>
                </c:pt>
                <c:pt idx="13">
                  <c:v>0.72089999999999999</c:v>
                </c:pt>
                <c:pt idx="14">
                  <c:v>0.74419999999999997</c:v>
                </c:pt>
                <c:pt idx="15">
                  <c:v>0.74419999999999997</c:v>
                </c:pt>
                <c:pt idx="16">
                  <c:v>0.83720000000000006</c:v>
                </c:pt>
                <c:pt idx="17">
                  <c:v>0.88370000000000004</c:v>
                </c:pt>
                <c:pt idx="18">
                  <c:v>0.88370000000000004</c:v>
                </c:pt>
              </c:numCache>
            </c:numRef>
          </c:xVal>
          <c:yVal>
            <c:numRef>
              <c:f>Tema2!$J$44:$J$62</c:f>
              <c:numCache>
                <c:formatCode>General</c:formatCode>
                <c:ptCount val="19"/>
                <c:pt idx="0">
                  <c:v>0.20930000000000001</c:v>
                </c:pt>
                <c:pt idx="1">
                  <c:v>0.25580000000000003</c:v>
                </c:pt>
                <c:pt idx="2">
                  <c:v>0.25580000000000003</c:v>
                </c:pt>
                <c:pt idx="3">
                  <c:v>0.3488</c:v>
                </c:pt>
                <c:pt idx="4">
                  <c:v>0.37209999999999999</c:v>
                </c:pt>
                <c:pt idx="5">
                  <c:v>0.39529999999999998</c:v>
                </c:pt>
                <c:pt idx="6">
                  <c:v>0.39529999999999998</c:v>
                </c:pt>
                <c:pt idx="7">
                  <c:v>0.44190000000000002</c:v>
                </c:pt>
                <c:pt idx="8">
                  <c:v>0.46510000000000001</c:v>
                </c:pt>
                <c:pt idx="9">
                  <c:v>0.46510000000000001</c:v>
                </c:pt>
                <c:pt idx="10">
                  <c:v>0.62790000000000001</c:v>
                </c:pt>
                <c:pt idx="11">
                  <c:v>0.6512</c:v>
                </c:pt>
                <c:pt idx="12">
                  <c:v>0.69769999999999999</c:v>
                </c:pt>
                <c:pt idx="13">
                  <c:v>0.72089999999999999</c:v>
                </c:pt>
                <c:pt idx="14">
                  <c:v>0.72089999999999999</c:v>
                </c:pt>
                <c:pt idx="15">
                  <c:v>0.74419999999999997</c:v>
                </c:pt>
                <c:pt idx="16">
                  <c:v>0.74419999999999997</c:v>
                </c:pt>
                <c:pt idx="17">
                  <c:v>0.83720000000000006</c:v>
                </c:pt>
                <c:pt idx="18">
                  <c:v>0.88370000000000004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1B-4D9B-B199-C28623870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25759"/>
        <c:axId val="482668895"/>
      </c:scatterChart>
      <c:valAx>
        <c:axId val="478525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ri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2668895"/>
        <c:crosses val="autoZero"/>
        <c:crossBetween val="midCat"/>
      </c:valAx>
      <c:valAx>
        <c:axId val="48266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ri+1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78525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5</xdr:row>
      <xdr:rowOff>0</xdr:rowOff>
    </xdr:from>
    <xdr:to>
      <xdr:col>12</xdr:col>
      <xdr:colOff>209550</xdr:colOff>
      <xdr:row>26</xdr:row>
      <xdr:rowOff>161925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972425" y="952500"/>
          <a:ext cx="4314825" cy="41624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/>
            <a:t>Public Function Resultado</a:t>
          </a:r>
          <a:r>
            <a:rPr lang="es-CO" sz="1100" baseline="0"/>
            <a:t> () As Integer</a:t>
          </a:r>
        </a:p>
        <a:p>
          <a:endParaRPr lang="es-CO" sz="1100" baseline="0"/>
        </a:p>
        <a:p>
          <a:r>
            <a:rPr lang="es-CO" sz="1100" baseline="0"/>
            <a:t>A= 0.048;</a:t>
          </a:r>
        </a:p>
        <a:p>
          <a:r>
            <a:rPr lang="es-CO" sz="1100" baseline="0"/>
            <a:t>B= 0.143;</a:t>
          </a:r>
        </a:p>
        <a:p>
          <a:r>
            <a:rPr lang="es-CO" sz="1100" baseline="0"/>
            <a:t>C= 0.286;</a:t>
          </a:r>
        </a:p>
        <a:p>
          <a:r>
            <a:rPr lang="es-CO" sz="1100" baseline="0"/>
            <a:t>D=0.476;</a:t>
          </a:r>
        </a:p>
        <a:p>
          <a:r>
            <a:rPr lang="es-CO" sz="1100" baseline="0"/>
            <a:t>E=0.714</a:t>
          </a:r>
        </a:p>
        <a:p>
          <a:r>
            <a:rPr lang="es-CO" sz="1100" baseline="0"/>
            <a:t>Aleatorio= Rnd()</a:t>
          </a:r>
        </a:p>
        <a:p>
          <a:endParaRPr lang="es-CO" sz="1100" baseline="0"/>
        </a:p>
        <a:p>
          <a:r>
            <a:rPr lang="es-CO" sz="1100" baseline="0"/>
            <a:t>If Aleatorio&lt;= A then</a:t>
          </a:r>
        </a:p>
        <a:p>
          <a:r>
            <a:rPr lang="es-CO" sz="1100" baseline="0"/>
            <a:t>        Resultado=1</a:t>
          </a:r>
        </a:p>
        <a:p>
          <a:r>
            <a:rPr lang="es-CO" sz="1100" baseline="0"/>
            <a:t>ElseIf &lt;=B then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Resultado=2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ElseIIf Aleatorio&lt;= C then</a:t>
          </a:r>
          <a:endParaRPr lang="es-CO">
            <a:effectLst/>
          </a:endParaRP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Resultado=3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ElseIIf Aleatorio&lt;= D then</a:t>
          </a:r>
          <a:endParaRPr lang="es-CO">
            <a:effectLst/>
          </a:endParaRP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Resultado=4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ElseIIf Aleatorio&lt;= E then</a:t>
          </a:r>
          <a:endParaRPr lang="es-CO">
            <a:effectLst/>
          </a:endParaRP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Resultado=5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   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Resultado=6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If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Function</a:t>
          </a:r>
        </a:p>
        <a:p>
          <a:endParaRPr lang="es-CO">
            <a:effectLst/>
          </a:endParaRPr>
        </a:p>
        <a:p>
          <a:endParaRPr lang="es-CO">
            <a:effectLst/>
          </a:endParaRPr>
        </a:p>
        <a:p>
          <a:endParaRPr lang="es-CO">
            <a:effectLst/>
          </a:endParaRPr>
        </a:p>
        <a:p>
          <a:endParaRPr lang="es-CO">
            <a:effectLst/>
          </a:endParaRPr>
        </a:p>
        <a:p>
          <a:endParaRPr lang="es-CO">
            <a:effectLst/>
          </a:endParaRPr>
        </a:p>
        <a:p>
          <a:endParaRPr lang="es-CO" sz="1100" baseline="0"/>
        </a:p>
        <a:p>
          <a:r>
            <a:rPr lang="es-CO" sz="1100" baseline="0"/>
            <a:t>	</a:t>
          </a:r>
        </a:p>
        <a:p>
          <a:endParaRPr lang="es-CO" sz="1100" baseline="0"/>
        </a:p>
        <a:p>
          <a:endParaRPr lang="es-CO" sz="1100"/>
        </a:p>
        <a:p>
          <a:endParaRPr lang="es-CO" sz="1100"/>
        </a:p>
        <a:p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33</xdr:row>
          <xdr:rowOff>180975</xdr:rowOff>
        </xdr:from>
        <xdr:to>
          <xdr:col>9</xdr:col>
          <xdr:colOff>742950</xdr:colOff>
          <xdr:row>36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Chi-cuadrado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161925</xdr:colOff>
      <xdr:row>74</xdr:row>
      <xdr:rowOff>95250</xdr:rowOff>
    </xdr:from>
    <xdr:ext cx="72782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419600" y="14601825"/>
              <a:ext cx="72782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𝜇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𝑁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num>
                      <m:den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AE7B512-E575-46E4-828E-3BF7310CFF04}"/>
                </a:ext>
              </a:extLst>
            </xdr:cNvPr>
            <xdr:cNvSpPr txBox="1"/>
          </xdr:nvSpPr>
          <xdr:spPr>
            <a:xfrm>
              <a:off x="4419600" y="14601825"/>
              <a:ext cx="72782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=(2𝑁−1)/3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5</xdr:col>
      <xdr:colOff>152400</xdr:colOff>
      <xdr:row>76</xdr:row>
      <xdr:rowOff>180975</xdr:rowOff>
    </xdr:from>
    <xdr:ext cx="959109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410075" y="15078075"/>
              <a:ext cx="959109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sub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16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𝑁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−29</m:t>
                        </m:r>
                      </m:num>
                      <m:den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90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A1E438FB-71F2-4C0D-B006-A72141F273CD}"/>
                </a:ext>
              </a:extLst>
            </xdr:cNvPr>
            <xdr:cNvSpPr txBox="1"/>
          </xdr:nvSpPr>
          <xdr:spPr>
            <a:xfrm>
              <a:off x="4410075" y="15078075"/>
              <a:ext cx="959109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CO" sz="1100" b="0" i="0">
                  <a:latin typeface="Cambria Math" panose="02040503050406030204" pitchFamily="18" charset="0"/>
                </a:rPr>
                <a:t>𝐴^2=(16𝑁−29)/90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161925</xdr:colOff>
      <xdr:row>79</xdr:row>
      <xdr:rowOff>161925</xdr:rowOff>
    </xdr:from>
    <xdr:ext cx="1898725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923925" y="15640050"/>
              <a:ext cx="1898725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CO" sz="1100" b="1" i="1">
                      <a:latin typeface="Cambria Math" panose="02040503050406030204" pitchFamily="18" charset="0"/>
                    </a:rPr>
                    <m:t>𝑷𝒂𝒓𝒂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 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𝑵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&gt;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𝟐𝟎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;          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𝑨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~</m:t>
                  </m:r>
                </m:oMath>
              </a14:m>
              <a:r>
                <a:rPr lang="es-CO" sz="1100" b="1"/>
                <a:t>N(</a:t>
              </a:r>
              <a14:m>
                <m:oMath xmlns:m="http://schemas.openxmlformats.org/officeDocument/2006/math">
                  <m:r>
                    <a:rPr lang="es-CO" sz="11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𝝁</m:t>
                  </m:r>
                </m:oMath>
              </a14:m>
              <a:r>
                <a:rPr lang="es-CO" sz="1100" b="1"/>
                <a:t>,</a:t>
              </a:r>
              <a14:m>
                <m:oMath xmlns:m="http://schemas.openxmlformats.org/officeDocument/2006/math">
                  <m:sSup>
                    <m:sSupPr>
                      <m:ctrlPr>
                        <a:rPr lang="es-CO" sz="11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s-CO" sz="11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𝝈</m:t>
                      </m:r>
                    </m:e>
                    <m:sup>
                      <m:r>
                        <a:rPr lang="es-CO" sz="11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𝟐</m:t>
                      </m:r>
                    </m:sup>
                  </m:sSup>
                </m:oMath>
              </a14:m>
              <a:r>
                <a:rPr lang="es-CO" sz="1100" b="1"/>
                <a:t>) </a:t>
              </a: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602FF654-776B-4008-ADFC-4EDE0E51D021}"/>
                </a:ext>
              </a:extLst>
            </xdr:cNvPr>
            <xdr:cNvSpPr txBox="1"/>
          </xdr:nvSpPr>
          <xdr:spPr>
            <a:xfrm>
              <a:off x="923925" y="15640050"/>
              <a:ext cx="1898725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O" sz="1100" b="1" i="0">
                  <a:latin typeface="Cambria Math" panose="02040503050406030204" pitchFamily="18" charset="0"/>
                </a:rPr>
                <a:t>𝑷𝒂𝒓𝒂 𝑵&gt;𝟐𝟎;          𝑨~</a:t>
              </a:r>
              <a:r>
                <a:rPr lang="es-CO" sz="1100" b="1"/>
                <a:t>N(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𝝁</a:t>
              </a:r>
              <a:r>
                <a:rPr lang="es-CO" sz="1100" b="1"/>
                <a:t>,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𝝈^𝟐</a:t>
              </a:r>
              <a:r>
                <a:rPr lang="es-CO" sz="1100" b="1"/>
                <a:t>) </a:t>
              </a:r>
            </a:p>
          </xdr:txBody>
        </xdr:sp>
      </mc:Fallback>
    </mc:AlternateContent>
    <xdr:clientData/>
  </xdr:oneCellAnchor>
  <xdr:oneCellAnchor>
    <xdr:from>
      <xdr:col>1</xdr:col>
      <xdr:colOff>38100</xdr:colOff>
      <xdr:row>83</xdr:row>
      <xdr:rowOff>19050</xdr:rowOff>
    </xdr:from>
    <xdr:ext cx="1162050" cy="40883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800100" y="16259175"/>
              <a:ext cx="1162050" cy="4088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600" b="0"/>
                <a:t>Z</a:t>
              </a:r>
              <a14:m>
                <m:oMath xmlns:m="http://schemas.openxmlformats.org/officeDocument/2006/math">
                  <m:r>
                    <a:rPr lang="es-CO" sz="16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s-CO" sz="16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s-CO" sz="1600" b="0" i="1">
                          <a:latin typeface="Cambria Math" panose="02040503050406030204" pitchFamily="18" charset="0"/>
                        </a:rPr>
                        <m:t>𝐴</m:t>
                      </m:r>
                      <m:r>
                        <a:rPr lang="es-CO" sz="1600" b="0" i="1"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s-CO" sz="16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s-CO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𝜇</m:t>
                          </m:r>
                        </m:e>
                        <m:sub>
                          <m:r>
                            <a:rPr lang="es-CO" sz="16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sub>
                      </m:sSub>
                    </m:num>
                    <m:den>
                      <m:sSubSup>
                        <m:sSubSupPr>
                          <m:ctrlPr>
                            <a:rPr lang="es-CO" sz="1600" b="0" i="1">
                              <a:latin typeface="Cambria Math" panose="02040503050406030204" pitchFamily="18" charset="0"/>
                            </a:rPr>
                          </m:ctrlPr>
                        </m:sSubSupPr>
                        <m:e>
                          <m:r>
                            <a:rPr lang="es-CO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𝜎</m:t>
                          </m:r>
                        </m:e>
                        <m:sub>
                          <m:r>
                            <a:rPr lang="es-CO" sz="16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sub>
                        <m:sup>
                          <m:r>
                            <a:rPr lang="es-CO" sz="16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bSup>
                    </m:den>
                  </m:f>
                </m:oMath>
              </a14:m>
              <a:endParaRPr lang="es-CO" sz="16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DA23FC3-FC19-48DC-8AD7-07D5EAF5D023}"/>
                </a:ext>
              </a:extLst>
            </xdr:cNvPr>
            <xdr:cNvSpPr txBox="1"/>
          </xdr:nvSpPr>
          <xdr:spPr>
            <a:xfrm>
              <a:off x="800100" y="16259175"/>
              <a:ext cx="1162050" cy="4088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600" b="0"/>
                <a:t>Z</a:t>
              </a:r>
              <a:r>
                <a:rPr lang="es-CO" sz="1600" b="0" i="0">
                  <a:latin typeface="Cambria Math" panose="02040503050406030204" pitchFamily="18" charset="0"/>
                </a:rPr>
                <a:t>=(𝐴−</a:t>
              </a:r>
              <a:r>
                <a:rPr lang="es-CO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600" b="0" i="0">
                  <a:latin typeface="Cambria Math" panose="02040503050406030204" pitchFamily="18" charset="0"/>
                </a:rPr>
                <a:t>𝐴)/(</a:t>
              </a:r>
              <a:r>
                <a:rPr lang="es-CO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CO" sz="1600" b="0" i="0">
                  <a:latin typeface="Cambria Math" panose="02040503050406030204" pitchFamily="18" charset="0"/>
                </a:rPr>
                <a:t>𝐴^2 )</a:t>
              </a:r>
              <a:endParaRPr lang="es-CO" sz="1600"/>
            </a:p>
          </xdr:txBody>
        </xdr:sp>
      </mc:Fallback>
    </mc:AlternateContent>
    <xdr:clientData/>
  </xdr:oneCellAnchor>
  <xdr:oneCellAnchor>
    <xdr:from>
      <xdr:col>1</xdr:col>
      <xdr:colOff>76200</xdr:colOff>
      <xdr:row>85</xdr:row>
      <xdr:rowOff>19050</xdr:rowOff>
    </xdr:from>
    <xdr:ext cx="19578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838200" y="16640175"/>
              <a:ext cx="19578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CO" sz="1100" b="0" i="1">
                      <a:latin typeface="Cambria Math" panose="02040503050406030204" pitchFamily="18" charset="0"/>
                    </a:rPr>
                    <m:t>𝑆𝑖</m:t>
                  </m:r>
                  <m:r>
                    <a:rPr lang="es-CO" sz="1100" b="0" i="1">
                      <a:latin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</a:rPr>
                    <m:t>𝑍</m:t>
                  </m:r>
                  <m:r>
                    <a:rPr lang="es-CO" sz="1100" b="0" i="1">
                      <a:latin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𝜖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d>
                    <m:dPr>
                      <m:begChr m:val="["/>
                      <m:endChr m:val="]"/>
                      <m:ctrlPr>
                        <a:rPr lang="es-CO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dPr>
                    <m:e>
                      <m:r>
                        <a:rPr lang="es-CO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−1.96,1.96</m:t>
                      </m:r>
                    </m:e>
                  </m:d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𝑠𝑒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𝑎𝑐𝑒𝑝𝑡𝑎</m:t>
                  </m:r>
                </m:oMath>
              </a14:m>
              <a:r>
                <a:rPr lang="es-CO" sz="1100"/>
                <a:t> Ho</a:t>
              </a:r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9B76705E-EF1D-4A08-B5F7-A7A63A923283}"/>
                </a:ext>
              </a:extLst>
            </xdr:cNvPr>
            <xdr:cNvSpPr txBox="1"/>
          </xdr:nvSpPr>
          <xdr:spPr>
            <a:xfrm>
              <a:off x="838200" y="16640175"/>
              <a:ext cx="19578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O" sz="1100" b="0" i="0">
                  <a:latin typeface="Cambria Math" panose="02040503050406030204" pitchFamily="18" charset="0"/>
                </a:rPr>
                <a:t>𝑆𝑖 𝑍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𝜖 [−1.96,1.96]  𝑠𝑒 𝑎𝑐𝑒𝑝𝑡𝑎</a:t>
              </a:r>
              <a:r>
                <a:rPr lang="es-CO" sz="1100"/>
                <a:t> Ho</a:t>
              </a:r>
            </a:p>
          </xdr:txBody>
        </xdr:sp>
      </mc:Fallback>
    </mc:AlternateContent>
    <xdr:clientData/>
  </xdr:oneCellAnchor>
  <xdr:oneCellAnchor>
    <xdr:from>
      <xdr:col>3</xdr:col>
      <xdr:colOff>666750</xdr:colOff>
      <xdr:row>95</xdr:row>
      <xdr:rowOff>66675</xdr:rowOff>
    </xdr:from>
    <xdr:ext cx="1533525" cy="377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2905125" y="18945225"/>
              <a:ext cx="1533525" cy="377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𝝁</m:t>
                        </m:r>
                      </m:e>
                      <m:sub>
                        <m:r>
                          <a:rPr lang="es-CO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𝑩</m:t>
                        </m:r>
                      </m:sub>
                    </m:sSub>
                    <m:r>
                      <a:rPr lang="es-CO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  <m:sSub>
                          <m:sSubPr>
                            <m:ctrlPr>
                              <a:rPr lang="es-CO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𝒏</m:t>
                            </m:r>
                          </m:e>
                          <m:sub>
                            <m:r>
                              <a:rPr lang="es-CO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</m:sub>
                        </m:sSub>
                        <m:sSub>
                          <m:sSubPr>
                            <m:ctrlPr>
                              <a:rPr lang="es-CO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𝒏</m:t>
                            </m:r>
                          </m:e>
                          <m:sub>
                            <m:r>
                              <a:rPr lang="es-CO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𝒏</m:t>
                            </m:r>
                          </m:e>
                          <m:sub>
                            <m: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𝟏</m:t>
                            </m:r>
                          </m:sub>
                        </m:sSub>
                        <m:sSub>
                          <m:sSubPr>
                            <m:ctrlP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𝒏</m:t>
                            </m:r>
                          </m:e>
                          <m:sub>
                            <m: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b>
                        </m:sSub>
                      </m:den>
                    </m:f>
                    <m:r>
                      <a:rPr lang="es-CO" sz="12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 </m:t>
                    </m:r>
                    <m:f>
                      <m:fPr>
                        <m:ctrlPr>
                          <a:rPr lang="es-CO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CO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num>
                      <m:den>
                        <m:r>
                          <a:rPr lang="es-CO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𝟐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825901E2-9765-4184-AF17-73AE02430E0C}"/>
                </a:ext>
              </a:extLst>
            </xdr:cNvPr>
            <xdr:cNvSpPr txBox="1"/>
          </xdr:nvSpPr>
          <xdr:spPr>
            <a:xfrm>
              <a:off x="2905125" y="18945225"/>
              <a:ext cx="1533525" cy="377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2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𝝁_𝑩=(𝟐𝒏_𝟏 𝒏_𝟐)/(</a:t>
              </a:r>
              <a:r>
                <a:rPr lang="es-CO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𝒏_𝟏 〖+𝒏〗_𝟐 </a:t>
              </a:r>
              <a:r>
                <a:rPr lang="es-CO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s-CO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  𝟏/𝟐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3</xdr:col>
      <xdr:colOff>638175</xdr:colOff>
      <xdr:row>97</xdr:row>
      <xdr:rowOff>171450</xdr:rowOff>
    </xdr:from>
    <xdr:ext cx="1959126" cy="3561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2876550" y="19440525"/>
              <a:ext cx="1959126" cy="3561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𝝈</m:t>
                        </m:r>
                      </m:e>
                      <m:sub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𝑩</m:t>
                        </m:r>
                      </m:sub>
                      <m:sup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𝟐</m:t>
                        </m:r>
                      </m:sup>
                    </m:sSubSup>
                    <m:r>
                      <a:rPr lang="es-CO" sz="1100" b="1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𝟐</m:t>
                        </m:r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e>
                          <m:sub>
                            <m:r>
                              <a:rPr lang="es-CO" sz="1100" b="1" i="1">
                                <a:latin typeface="Cambria Math" panose="02040503050406030204" pitchFamily="18" charset="0"/>
                              </a:rPr>
                              <m:t>𝟏</m:t>
                            </m:r>
                          </m:sub>
                        </m:sSub>
                        <m:sSub>
                          <m:sSub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𝒏</m:t>
                            </m:r>
                          </m:e>
                          <m:sub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b>
                        </m:sSub>
                        <m:d>
                          <m:d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𝒏</m:t>
                                </m:r>
                              </m:e>
                              <m: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𝒏</m:t>
                                </m:r>
                              </m:e>
                              <m: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b>
                            </m:sSub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𝒏</m:t>
                                </m:r>
                              </m:e>
                              <m: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𝟏</m:t>
                                </m:r>
                              </m:sub>
                            </m:sSub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𝒏</m:t>
                                </m:r>
                              </m:e>
                              <m: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num>
                      <m:den>
                        <m:sSup>
                          <m:s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CO" sz="1100" b="1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𝒏</m:t>
                                    </m:r>
                                  </m:e>
                                  <m:sub>
                                    <m: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𝟏</m:t>
                                    </m:r>
                                  </m:sub>
                                </m:s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𝒏</m:t>
                                    </m:r>
                                  </m:e>
                                  <m:sub>
                                    <m: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𝟐</m:t>
                                    </m:r>
                                  </m:sub>
                                </m:sSub>
                              </m:e>
                            </m:d>
                          </m:e>
                          <m:sup>
                            <m:r>
                              <a:rPr lang="es-CO" sz="11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  <m:d>
                          <m:d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𝒏</m:t>
                                </m:r>
                              </m:e>
                              <m: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𝟏</m:t>
                                </m:r>
                              </m:sub>
                            </m:sSub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𝒏</m:t>
                                </m:r>
                              </m:e>
                              <m: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b>
                            </m:sSub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𝟏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D30FB301-2CA9-4FE1-80B1-2B1B74B37DF0}"/>
                </a:ext>
              </a:extLst>
            </xdr:cNvPr>
            <xdr:cNvSpPr txBox="1"/>
          </xdr:nvSpPr>
          <xdr:spPr>
            <a:xfrm>
              <a:off x="2876550" y="19440525"/>
              <a:ext cx="1959126" cy="3561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𝝈_</a:t>
              </a:r>
              <a:r>
                <a:rPr lang="es-CO" sz="1100" b="1" i="0">
                  <a:latin typeface="Cambria Math" panose="02040503050406030204" pitchFamily="18" charset="0"/>
                </a:rPr>
                <a:t>𝑩^𝟐=(𝟐𝒏_𝟏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𝒏_𝟐 (𝟐𝒏_𝟏 𝒏_𝟐−𝒏_𝟏−𝒏_𝟐 ))/((𝒏_𝟏+𝒏_𝟐 )^</a:t>
              </a:r>
              <a:r>
                <a:rPr lang="es-CO" sz="1100" b="1" i="0">
                  <a:latin typeface="Cambria Math" panose="02040503050406030204" pitchFamily="18" charset="0"/>
                </a:rPr>
                <a:t>𝟐 (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𝒏_𝟏+𝒏_𝟐−𝟏) 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0</xdr:col>
      <xdr:colOff>752475</xdr:colOff>
      <xdr:row>103</xdr:row>
      <xdr:rowOff>180975</xdr:rowOff>
    </xdr:from>
    <xdr:ext cx="733425" cy="3885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752475" y="20602575"/>
              <a:ext cx="733425" cy="3885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600" b="0"/>
                <a:t>Z</a:t>
              </a:r>
              <a14:m>
                <m:oMath xmlns:m="http://schemas.openxmlformats.org/officeDocument/2006/math">
                  <m:r>
                    <a:rPr lang="es-CO" sz="16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s-CO" sz="16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s-CO" sz="1600" b="0" i="1">
                          <a:latin typeface="Cambria Math" panose="02040503050406030204" pitchFamily="18" charset="0"/>
                        </a:rPr>
                        <m:t>𝐵</m:t>
                      </m:r>
                      <m:r>
                        <a:rPr lang="es-CO" sz="1600" b="0" i="1"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s-CO" sz="16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s-CO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𝜇</m:t>
                          </m:r>
                        </m:e>
                        <m:sub>
                          <m:r>
                            <a:rPr lang="es-CO" sz="1600" b="0" i="1">
                              <a:latin typeface="Cambria Math" panose="02040503050406030204" pitchFamily="18" charset="0"/>
                            </a:rPr>
                            <m:t>𝐵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CO" sz="16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s-CO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𝜎</m:t>
                          </m:r>
                        </m:e>
                        <m:sub>
                          <m:r>
                            <a:rPr lang="es-CO" sz="1600" b="0" i="1">
                              <a:latin typeface="Cambria Math" panose="02040503050406030204" pitchFamily="18" charset="0"/>
                            </a:rPr>
                            <m:t>𝐵</m:t>
                          </m:r>
                        </m:sub>
                      </m:sSub>
                    </m:den>
                  </m:f>
                </m:oMath>
              </a14:m>
              <a:endParaRPr lang="es-CO" sz="1600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51A03EB5-A707-45A4-A393-EE82DA070E19}"/>
                </a:ext>
              </a:extLst>
            </xdr:cNvPr>
            <xdr:cNvSpPr txBox="1"/>
          </xdr:nvSpPr>
          <xdr:spPr>
            <a:xfrm>
              <a:off x="752475" y="20602575"/>
              <a:ext cx="733425" cy="3885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600" b="0"/>
                <a:t>Z</a:t>
              </a:r>
              <a:r>
                <a:rPr lang="es-CO" sz="1600" b="0" i="0">
                  <a:latin typeface="Cambria Math" panose="02040503050406030204" pitchFamily="18" charset="0"/>
                </a:rPr>
                <a:t>=(𝐵−</a:t>
              </a:r>
              <a:r>
                <a:rPr lang="es-CO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600" b="0" i="0">
                  <a:latin typeface="Cambria Math" panose="02040503050406030204" pitchFamily="18" charset="0"/>
                </a:rPr>
                <a:t>𝐵)/</a:t>
              </a:r>
              <a:r>
                <a:rPr lang="es-CO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CO" sz="1600" b="0" i="0">
                  <a:latin typeface="Cambria Math" panose="02040503050406030204" pitchFamily="18" charset="0"/>
                </a:rPr>
                <a:t>𝐵 </a:t>
              </a:r>
              <a:endParaRPr lang="es-CO" sz="1600"/>
            </a:p>
          </xdr:txBody>
        </xdr:sp>
      </mc:Fallback>
    </mc:AlternateContent>
    <xdr:clientData/>
  </xdr:oneCellAnchor>
  <xdr:oneCellAnchor>
    <xdr:from>
      <xdr:col>1</xdr:col>
      <xdr:colOff>76200</xdr:colOff>
      <xdr:row>106</xdr:row>
      <xdr:rowOff>19050</xdr:rowOff>
    </xdr:from>
    <xdr:ext cx="19578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838200" y="21012150"/>
              <a:ext cx="19578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CO" sz="1100" b="0" i="1">
                      <a:latin typeface="Cambria Math" panose="02040503050406030204" pitchFamily="18" charset="0"/>
                    </a:rPr>
                    <m:t>𝑆𝑖</m:t>
                  </m:r>
                  <m:r>
                    <a:rPr lang="es-CO" sz="1100" b="0" i="1">
                      <a:latin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</a:rPr>
                    <m:t>𝑍</m:t>
                  </m:r>
                  <m:r>
                    <a:rPr lang="es-CO" sz="1100" b="0" i="1">
                      <a:latin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𝜖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d>
                    <m:dPr>
                      <m:begChr m:val="["/>
                      <m:endChr m:val="]"/>
                      <m:ctrlPr>
                        <a:rPr lang="es-CO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dPr>
                    <m:e>
                      <m:r>
                        <a:rPr lang="es-CO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−1.96,1.96</m:t>
                      </m:r>
                    </m:e>
                  </m:d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𝑠𝑒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𝑎𝑐𝑒𝑝𝑡𝑎</m:t>
                  </m:r>
                </m:oMath>
              </a14:m>
              <a:r>
                <a:rPr lang="es-CO" sz="1100"/>
                <a:t> Ho</a:t>
              </a:r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15689C27-2260-4F5F-AB28-68F362D1CDDB}"/>
                </a:ext>
              </a:extLst>
            </xdr:cNvPr>
            <xdr:cNvSpPr txBox="1"/>
          </xdr:nvSpPr>
          <xdr:spPr>
            <a:xfrm>
              <a:off x="838200" y="21012150"/>
              <a:ext cx="19578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O" sz="1100" b="0" i="0">
                  <a:latin typeface="Cambria Math" panose="02040503050406030204" pitchFamily="18" charset="0"/>
                </a:rPr>
                <a:t>𝑆𝑖 𝑍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𝜖 [−1.96,1.96]  𝑠𝑒 𝑎𝑐𝑒𝑝𝑡𝑎</a:t>
              </a:r>
              <a:r>
                <a:rPr lang="es-CO" sz="1100"/>
                <a:t> Ho</a:t>
              </a:r>
            </a:p>
          </xdr:txBody>
        </xdr:sp>
      </mc:Fallback>
    </mc:AlternateContent>
    <xdr:clientData/>
  </xdr:oneCellAnchor>
  <xdr:oneCellAnchor>
    <xdr:from>
      <xdr:col>1</xdr:col>
      <xdr:colOff>400049</xdr:colOff>
      <xdr:row>110</xdr:row>
      <xdr:rowOff>180975</xdr:rowOff>
    </xdr:from>
    <xdr:ext cx="5876926" cy="3197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1162049" y="21936075"/>
              <a:ext cx="5876926" cy="3197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CO" sz="1400" b="0" i="1">
                      <a:latin typeface="Cambria Math" panose="02040503050406030204" pitchFamily="18" charset="0"/>
                    </a:rPr>
                    <m:t>𝑓</m:t>
                  </m:r>
                  <m:d>
                    <m:dPr>
                      <m:ctrlPr>
                        <a:rPr lang="es-CO" sz="14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𝑥</m:t>
                      </m:r>
                    </m:e>
                  </m:d>
                  <m:r>
                    <a:rPr lang="es-CO" sz="1400" b="0" i="1">
                      <a:latin typeface="Cambria Math" panose="02040503050406030204" pitchFamily="18" charset="0"/>
                    </a:rPr>
                    <m:t>= </m:t>
                  </m:r>
                  <m:r>
                    <m:rPr>
                      <m:sty m:val="p"/>
                    </m:rPr>
                    <a:rPr lang="el-GR" sz="1400" b="0" i="1">
                      <a:latin typeface="Cambria Math" panose="02040503050406030204" pitchFamily="18" charset="0"/>
                    </a:rPr>
                    <m:t>λ</m:t>
                  </m:r>
                  <m:r>
                    <a:rPr lang="es-CO" sz="1400" b="0" i="1">
                      <a:latin typeface="Cambria Math" panose="02040503050406030204" pitchFamily="18" charset="0"/>
                    </a:rPr>
                    <m:t>   </m:t>
                  </m:r>
                  <m:sSup>
                    <m:sSupPr>
                      <m:ctrlPr>
                        <a:rPr lang="es-CO" sz="14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s-CO" sz="14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m:rPr>
                          <m:sty m:val="p"/>
                        </m:rPr>
                        <a:rPr lang="el-GR" sz="1400" b="0" i="1">
                          <a:latin typeface="Cambria Math" panose="02040503050406030204" pitchFamily="18" charset="0"/>
                        </a:rPr>
                        <m:t>λ</m:t>
                      </m:r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𝑥</m:t>
                      </m:r>
                    </m:sup>
                  </m:sSup>
                  <m:r>
                    <a:rPr lang="es-CO" sz="1400" b="0" i="1">
                      <a:latin typeface="Cambria Math" panose="02040503050406030204" pitchFamily="18" charset="0"/>
                    </a:rPr>
                    <m:t>           ; </m:t>
                  </m:r>
                  <m:r>
                    <a:rPr lang="es-CO" sz="1400" b="0" i="1">
                      <a:latin typeface="Cambria Math" panose="02040503050406030204" pitchFamily="18" charset="0"/>
                    </a:rPr>
                    <m:t>𝐹</m:t>
                  </m:r>
                  <m:d>
                    <m:dPr>
                      <m:ctrlPr>
                        <a:rPr lang="es-CO" sz="14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𝑥</m:t>
                      </m:r>
                    </m:e>
                  </m:d>
                  <m:r>
                    <a:rPr lang="es-CO" sz="1400" b="0" i="1">
                      <a:latin typeface="Cambria Math" panose="02040503050406030204" pitchFamily="18" charset="0"/>
                    </a:rPr>
                    <m:t>=1−</m:t>
                  </m:r>
                  <m:sSup>
                    <m:sSupPr>
                      <m:ctrlPr>
                        <a:rPr lang="es-CO" sz="14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s-CO" sz="14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m:rPr>
                          <m:sty m:val="p"/>
                        </m:rPr>
                        <a:rPr lang="el-GR" sz="1400" b="0" i="1">
                          <a:latin typeface="Cambria Math" panose="02040503050406030204" pitchFamily="18" charset="0"/>
                        </a:rPr>
                        <m:t>λ</m:t>
                      </m:r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𝑥</m:t>
                      </m:r>
                    </m:sup>
                  </m:sSup>
                  <m:r>
                    <a:rPr lang="es-CO" sz="1400" b="0" i="1">
                      <a:latin typeface="Cambria Math" panose="02040503050406030204" pitchFamily="18" charset="0"/>
                    </a:rPr>
                    <m:t>             ;</m:t>
                  </m:r>
                  <m:r>
                    <a:rPr lang="es-CO" sz="1400" b="0" i="1">
                      <a:latin typeface="Cambria Math" panose="02040503050406030204" pitchFamily="18" charset="0"/>
                    </a:rPr>
                    <m:t>𝑥</m:t>
                  </m:r>
                  <m:r>
                    <a:rPr lang="es-CO" sz="1400" b="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r>
                <a:rPr lang="es-CO" sz="1400" i="1" baseline="0"/>
                <a:t>   </a:t>
              </a:r>
              <a14:m>
                <m:oMath xmlns:m="http://schemas.openxmlformats.org/officeDocument/2006/math">
                  <m:r>
                    <a:rPr lang="es-CO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−</m:t>
                  </m:r>
                  <m:f>
                    <m:fPr>
                      <m:ctrlPr>
                        <a:rPr lang="es-CO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s-CO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𝐿𝑁</m:t>
                      </m:r>
                      <m:d>
                        <m:dPr>
                          <m:begChr m:val="|"/>
                          <m:endChr m:val="|"/>
                          <m:ctrlPr>
                            <a:rPr lang="es-CO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s-CO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1−</m:t>
                          </m:r>
                          <m:r>
                            <a:rPr lang="es-CO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𝑅𝑛𝑑</m:t>
                          </m:r>
                        </m:e>
                      </m:d>
                    </m:num>
                    <m:den>
                      <m:r>
                        <m:rPr>
                          <m:sty m:val="p"/>
                        </m:rPr>
                        <a:rPr lang="el-G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λ</m:t>
                      </m:r>
                    </m:den>
                  </m:f>
                </m:oMath>
              </a14:m>
              <a:r>
                <a:rPr lang="es-CO" sz="1800" i="1" baseline="0"/>
                <a:t>  </a:t>
              </a:r>
              <a:endParaRPr lang="es-CO" sz="1400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21AA86AA-7804-433B-B626-92E918BE0474}"/>
                </a:ext>
              </a:extLst>
            </xdr:cNvPr>
            <xdr:cNvSpPr txBox="1"/>
          </xdr:nvSpPr>
          <xdr:spPr>
            <a:xfrm>
              <a:off x="1162049" y="21936075"/>
              <a:ext cx="5876926" cy="3197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400" b="0" i="0">
                  <a:latin typeface="Cambria Math" panose="02040503050406030204" pitchFamily="18" charset="0"/>
                </a:rPr>
                <a:t>𝑓(𝑥)= </a:t>
              </a:r>
              <a:r>
                <a:rPr lang="el-GR" sz="1400" b="0" i="0">
                  <a:latin typeface="Cambria Math" panose="02040503050406030204" pitchFamily="18" charset="0"/>
                </a:rPr>
                <a:t>λ</a:t>
              </a:r>
              <a:r>
                <a:rPr lang="es-CO" sz="1400" b="0" i="0">
                  <a:latin typeface="Cambria Math" panose="02040503050406030204" pitchFamily="18" charset="0"/>
                </a:rPr>
                <a:t>   𝑒^(−</a:t>
              </a:r>
              <a:r>
                <a:rPr lang="el-GR" sz="1400" b="0" i="0">
                  <a:latin typeface="Cambria Math" panose="02040503050406030204" pitchFamily="18" charset="0"/>
                </a:rPr>
                <a:t>λ</a:t>
              </a:r>
              <a:r>
                <a:rPr lang="es-CO" sz="1400" b="0" i="0">
                  <a:latin typeface="Cambria Math" panose="02040503050406030204" pitchFamily="18" charset="0"/>
                </a:rPr>
                <a:t>𝑥)            ; 𝐹(𝑥)=1−𝑒^(−</a:t>
              </a:r>
              <a:r>
                <a:rPr lang="el-GR" sz="1400" b="0" i="0">
                  <a:latin typeface="Cambria Math" panose="02040503050406030204" pitchFamily="18" charset="0"/>
                </a:rPr>
                <a:t>λ</a:t>
              </a:r>
              <a:r>
                <a:rPr lang="es-CO" sz="1400" b="0" i="0">
                  <a:latin typeface="Cambria Math" panose="02040503050406030204" pitchFamily="18" charset="0"/>
                </a:rPr>
                <a:t>𝑥)              ;𝑥=</a:t>
              </a:r>
              <a:r>
                <a:rPr lang="es-CO" sz="1400" i="1" baseline="0"/>
                <a:t>   </a:t>
              </a:r>
              <a:r>
                <a:rPr lang="es-CO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−𝐿𝑁|1−𝑅𝑛𝑑|/</a:t>
              </a:r>
              <a:r>
                <a:rPr lang="el-G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λ</a:t>
              </a:r>
              <a:r>
                <a:rPr lang="es-CO" sz="1800" i="1" baseline="0"/>
                <a:t>  </a:t>
              </a:r>
              <a:endParaRPr lang="es-CO" sz="1400"/>
            </a:p>
          </xdr:txBody>
        </xdr:sp>
      </mc:Fallback>
    </mc:AlternateContent>
    <xdr:clientData/>
  </xdr:oneCellAnchor>
  <xdr:oneCellAnchor>
    <xdr:from>
      <xdr:col>10</xdr:col>
      <xdr:colOff>1000125</xdr:colOff>
      <xdr:row>113</xdr:row>
      <xdr:rowOff>180975</xdr:rowOff>
    </xdr:from>
    <xdr:ext cx="2114550" cy="2440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10458450" y="22507575"/>
              <a:ext cx="2114550" cy="2440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𝒕</m:t>
                        </m:r>
                      </m:e>
                      <m:sub>
                        <m:f>
                          <m:f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CO" sz="1100" b="1" i="1">
                                <a:latin typeface="Cambria Math" panose="02040503050406030204" pitchFamily="18" charset="0"/>
                              </a:rPr>
                              <m:t>𝜶</m:t>
                            </m:r>
                          </m:num>
                          <m:den>
                            <m:r>
                              <a:rPr lang="es-CO" sz="11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den>
                        </m:f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𝑵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𝒕</m:t>
                        </m:r>
                      </m:e>
                      <m:sub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𝟎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.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𝟎𝟐𝟓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𝑵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B3BE7202-31CF-4A4F-BE31-A84019B720C8}"/>
                </a:ext>
              </a:extLst>
            </xdr:cNvPr>
            <xdr:cNvSpPr txBox="1"/>
          </xdr:nvSpPr>
          <xdr:spPr>
            <a:xfrm>
              <a:off x="10458450" y="22507575"/>
              <a:ext cx="2114550" cy="2440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𝒕_(𝜶/𝟐,𝑵−𝟏)=𝒕_(𝟎.𝟎𝟐𝟓,𝑵−𝟏)</a:t>
              </a:r>
              <a:endParaRPr lang="es-CO" sz="1100" b="1"/>
            </a:p>
          </xdr:txBody>
        </xdr:sp>
      </mc:Fallback>
    </mc:AlternateContent>
    <xdr:clientData/>
  </xdr:oneCellAnchor>
  <xdr:twoCellAnchor>
    <xdr:from>
      <xdr:col>10</xdr:col>
      <xdr:colOff>85725</xdr:colOff>
      <xdr:row>44</xdr:row>
      <xdr:rowOff>57150</xdr:rowOff>
    </xdr:from>
    <xdr:to>
      <xdr:col>14</xdr:col>
      <xdr:colOff>361950</xdr:colOff>
      <xdr:row>58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C851D6F-722B-41A4-9155-3FB9F7673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5</xdr:row>
      <xdr:rowOff>0</xdr:rowOff>
    </xdr:from>
    <xdr:to>
      <xdr:col>12</xdr:col>
      <xdr:colOff>209550</xdr:colOff>
      <xdr:row>26</xdr:row>
      <xdr:rowOff>161925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753475" y="952500"/>
          <a:ext cx="3219450" cy="41624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/>
            <a:t>Public Function Resultado</a:t>
          </a:r>
          <a:r>
            <a:rPr lang="es-CO" sz="1100" baseline="0"/>
            <a:t> () As Integer</a:t>
          </a:r>
        </a:p>
        <a:p>
          <a:endParaRPr lang="es-CO" sz="1100" baseline="0"/>
        </a:p>
        <a:p>
          <a:r>
            <a:rPr lang="es-CO" sz="1100" baseline="0"/>
            <a:t>A= 0.048;</a:t>
          </a:r>
        </a:p>
        <a:p>
          <a:r>
            <a:rPr lang="es-CO" sz="1100" baseline="0"/>
            <a:t>B= 0.143;</a:t>
          </a:r>
        </a:p>
        <a:p>
          <a:r>
            <a:rPr lang="es-CO" sz="1100" baseline="0"/>
            <a:t>C= 0.286;</a:t>
          </a:r>
        </a:p>
        <a:p>
          <a:r>
            <a:rPr lang="es-CO" sz="1100" baseline="0"/>
            <a:t>D=0.476;</a:t>
          </a:r>
        </a:p>
        <a:p>
          <a:r>
            <a:rPr lang="es-CO" sz="1100" baseline="0"/>
            <a:t>E=0.714</a:t>
          </a:r>
        </a:p>
        <a:p>
          <a:r>
            <a:rPr lang="es-CO" sz="1100" baseline="0"/>
            <a:t>Aleatorio= Rnd()</a:t>
          </a:r>
        </a:p>
        <a:p>
          <a:endParaRPr lang="es-CO" sz="1100" baseline="0"/>
        </a:p>
        <a:p>
          <a:r>
            <a:rPr lang="es-CO" sz="1100" baseline="0"/>
            <a:t>If Aleatorio&lt;= A then</a:t>
          </a:r>
        </a:p>
        <a:p>
          <a:r>
            <a:rPr lang="es-CO" sz="1100" baseline="0"/>
            <a:t>        Resultado=1</a:t>
          </a:r>
        </a:p>
        <a:p>
          <a:r>
            <a:rPr lang="es-CO" sz="1100" baseline="0"/>
            <a:t>ElseIf &lt;=B then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Resultado=2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ElseIIf Aleatorio&lt;= C then</a:t>
          </a:r>
          <a:endParaRPr lang="es-CO">
            <a:effectLst/>
          </a:endParaRP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Resultado=3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ElseIIf Aleatorio&lt;= D then</a:t>
          </a:r>
          <a:endParaRPr lang="es-CO">
            <a:effectLst/>
          </a:endParaRP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Resultado=4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ElseIIf Aleatorio&lt;= E then</a:t>
          </a:r>
          <a:endParaRPr lang="es-CO">
            <a:effectLst/>
          </a:endParaRP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Resultado=5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   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Resultado=6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If</a:t>
          </a:r>
        </a:p>
        <a:p>
          <a:r>
            <a:rPr lang="es-C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Function</a:t>
          </a:r>
        </a:p>
        <a:p>
          <a:endParaRPr lang="es-CO">
            <a:effectLst/>
          </a:endParaRPr>
        </a:p>
        <a:p>
          <a:endParaRPr lang="es-CO">
            <a:effectLst/>
          </a:endParaRPr>
        </a:p>
        <a:p>
          <a:endParaRPr lang="es-CO">
            <a:effectLst/>
          </a:endParaRPr>
        </a:p>
        <a:p>
          <a:endParaRPr lang="es-CO">
            <a:effectLst/>
          </a:endParaRPr>
        </a:p>
        <a:p>
          <a:endParaRPr lang="es-CO">
            <a:effectLst/>
          </a:endParaRPr>
        </a:p>
        <a:p>
          <a:endParaRPr lang="es-CO" sz="1100" baseline="0"/>
        </a:p>
        <a:p>
          <a:r>
            <a:rPr lang="es-CO" sz="1100" baseline="0"/>
            <a:t>	</a:t>
          </a:r>
        </a:p>
        <a:p>
          <a:endParaRPr lang="es-CO" sz="1100" baseline="0"/>
        </a:p>
        <a:p>
          <a:endParaRPr lang="es-CO" sz="1100"/>
        </a:p>
        <a:p>
          <a:endParaRPr lang="es-CO" sz="1100"/>
        </a:p>
        <a:p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33</xdr:row>
          <xdr:rowOff>180975</xdr:rowOff>
        </xdr:from>
        <xdr:to>
          <xdr:col>9</xdr:col>
          <xdr:colOff>742950</xdr:colOff>
          <xdr:row>36</xdr:row>
          <xdr:rowOff>47625</xdr:rowOff>
        </xdr:to>
        <xdr:sp macro="" textlink="">
          <xdr:nvSpPr>
            <xdr:cNvPr id="2051" name="Botó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Chi-cuadrado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161925</xdr:colOff>
      <xdr:row>74</xdr:row>
      <xdr:rowOff>95250</xdr:rowOff>
    </xdr:from>
    <xdr:ext cx="72782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419600" y="14601825"/>
              <a:ext cx="72782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𝜇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𝑁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num>
                      <m:den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C8C8C70E-8C07-49EA-8E0F-4BAA627CC54B}"/>
                </a:ext>
              </a:extLst>
            </xdr:cNvPr>
            <xdr:cNvSpPr txBox="1"/>
          </xdr:nvSpPr>
          <xdr:spPr>
            <a:xfrm>
              <a:off x="4419600" y="14601825"/>
              <a:ext cx="72782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=(2𝑁−1)/3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5</xdr:col>
      <xdr:colOff>152400</xdr:colOff>
      <xdr:row>76</xdr:row>
      <xdr:rowOff>180975</xdr:rowOff>
    </xdr:from>
    <xdr:ext cx="959109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410075" y="15078075"/>
              <a:ext cx="959109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sub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16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𝑁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−29</m:t>
                        </m:r>
                      </m:num>
                      <m:den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90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72E3532F-B9A8-4189-8513-DC034E42E8A3}"/>
                </a:ext>
              </a:extLst>
            </xdr:cNvPr>
            <xdr:cNvSpPr txBox="1"/>
          </xdr:nvSpPr>
          <xdr:spPr>
            <a:xfrm>
              <a:off x="4410075" y="15078075"/>
              <a:ext cx="959109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CO" sz="1100" b="0" i="0">
                  <a:latin typeface="Cambria Math" panose="02040503050406030204" pitchFamily="18" charset="0"/>
                </a:rPr>
                <a:t>𝐴^2=(16𝑁−29)/90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161925</xdr:colOff>
      <xdr:row>79</xdr:row>
      <xdr:rowOff>161925</xdr:rowOff>
    </xdr:from>
    <xdr:ext cx="1898725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676400" y="17640300"/>
              <a:ext cx="1898725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CO" sz="1100" b="1" i="1">
                      <a:latin typeface="Cambria Math" panose="02040503050406030204" pitchFamily="18" charset="0"/>
                    </a:rPr>
                    <m:t>𝑷𝒂𝒓𝒂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 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𝑵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&gt;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𝟐𝟎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;          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𝑨</m:t>
                  </m:r>
                  <m:r>
                    <a:rPr lang="es-CO" sz="1100" b="1" i="1">
                      <a:latin typeface="Cambria Math" panose="02040503050406030204" pitchFamily="18" charset="0"/>
                    </a:rPr>
                    <m:t>~</m:t>
                  </m:r>
                </m:oMath>
              </a14:m>
              <a:r>
                <a:rPr lang="es-CO" sz="1100" b="1"/>
                <a:t>N(</a:t>
              </a:r>
              <a14:m>
                <m:oMath xmlns:m="http://schemas.openxmlformats.org/officeDocument/2006/math">
                  <m:r>
                    <a:rPr lang="es-CO" sz="11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𝝁</m:t>
                  </m:r>
                </m:oMath>
              </a14:m>
              <a:r>
                <a:rPr lang="es-CO" sz="1100" b="1"/>
                <a:t>,</a:t>
              </a:r>
              <a14:m>
                <m:oMath xmlns:m="http://schemas.openxmlformats.org/officeDocument/2006/math">
                  <m:sSup>
                    <m:sSupPr>
                      <m:ctrlPr>
                        <a:rPr lang="es-CO" sz="11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s-CO" sz="11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𝝈</m:t>
                      </m:r>
                    </m:e>
                    <m:sup>
                      <m:r>
                        <a:rPr lang="es-CO" sz="11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𝟐</m:t>
                      </m:r>
                    </m:sup>
                  </m:sSup>
                </m:oMath>
              </a14:m>
              <a:r>
                <a:rPr lang="es-CO" sz="1100" b="1"/>
                <a:t>) </a:t>
              </a: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388C91D1-EC8E-4BF5-9687-C5DAB1CDAF3E}"/>
                </a:ext>
              </a:extLst>
            </xdr:cNvPr>
            <xdr:cNvSpPr txBox="1"/>
          </xdr:nvSpPr>
          <xdr:spPr>
            <a:xfrm>
              <a:off x="1676400" y="17640300"/>
              <a:ext cx="1898725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O" sz="1100" b="1" i="0">
                  <a:latin typeface="Cambria Math" panose="02040503050406030204" pitchFamily="18" charset="0"/>
                </a:rPr>
                <a:t>𝑷𝒂𝒓𝒂 𝑵&gt;𝟐𝟎;          𝑨~</a:t>
              </a:r>
              <a:r>
                <a:rPr lang="es-CO" sz="1100" b="1"/>
                <a:t>N(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𝝁</a:t>
              </a:r>
              <a:r>
                <a:rPr lang="es-CO" sz="1100" b="1"/>
                <a:t>,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𝝈^𝟐</a:t>
              </a:r>
              <a:r>
                <a:rPr lang="es-CO" sz="1100" b="1"/>
                <a:t>) </a:t>
              </a:r>
            </a:p>
          </xdr:txBody>
        </xdr:sp>
      </mc:Fallback>
    </mc:AlternateContent>
    <xdr:clientData/>
  </xdr:oneCellAnchor>
  <xdr:oneCellAnchor>
    <xdr:from>
      <xdr:col>1</xdr:col>
      <xdr:colOff>38100</xdr:colOff>
      <xdr:row>83</xdr:row>
      <xdr:rowOff>19050</xdr:rowOff>
    </xdr:from>
    <xdr:ext cx="1162050" cy="40883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800100" y="16259175"/>
              <a:ext cx="1162050" cy="4088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600" b="0"/>
                <a:t>Z</a:t>
              </a:r>
              <a14:m>
                <m:oMath xmlns:m="http://schemas.openxmlformats.org/officeDocument/2006/math">
                  <m:r>
                    <a:rPr lang="es-CO" sz="16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s-CO" sz="16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s-CO" sz="1600" b="0" i="1">
                          <a:latin typeface="Cambria Math" panose="02040503050406030204" pitchFamily="18" charset="0"/>
                        </a:rPr>
                        <m:t>𝐴</m:t>
                      </m:r>
                      <m:r>
                        <a:rPr lang="es-CO" sz="1600" b="0" i="1"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s-CO" sz="16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s-CO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𝜇</m:t>
                          </m:r>
                        </m:e>
                        <m:sub>
                          <m:r>
                            <a:rPr lang="es-CO" sz="16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sub>
                      </m:sSub>
                    </m:num>
                    <m:den>
                      <m:sSubSup>
                        <m:sSubSupPr>
                          <m:ctrlPr>
                            <a:rPr lang="es-CO" sz="1600" b="0" i="1">
                              <a:latin typeface="Cambria Math" panose="02040503050406030204" pitchFamily="18" charset="0"/>
                            </a:rPr>
                          </m:ctrlPr>
                        </m:sSubSupPr>
                        <m:e>
                          <m:r>
                            <a:rPr lang="es-CO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𝜎</m:t>
                          </m:r>
                        </m:e>
                        <m:sub>
                          <m:r>
                            <a:rPr lang="es-CO" sz="16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sub>
                        <m:sup>
                          <m:r>
                            <a:rPr lang="es-CO" sz="16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bSup>
                    </m:den>
                  </m:f>
                </m:oMath>
              </a14:m>
              <a:endParaRPr lang="es-CO" sz="16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EF39BA77-B13C-450B-9FBC-44C548E7F9AF}"/>
                </a:ext>
              </a:extLst>
            </xdr:cNvPr>
            <xdr:cNvSpPr txBox="1"/>
          </xdr:nvSpPr>
          <xdr:spPr>
            <a:xfrm>
              <a:off x="800100" y="16259175"/>
              <a:ext cx="1162050" cy="4088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600" b="0"/>
                <a:t>Z</a:t>
              </a:r>
              <a:r>
                <a:rPr lang="es-CO" sz="1600" b="0" i="0">
                  <a:latin typeface="Cambria Math" panose="02040503050406030204" pitchFamily="18" charset="0"/>
                </a:rPr>
                <a:t>=(𝐴−</a:t>
              </a:r>
              <a:r>
                <a:rPr lang="es-CO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600" b="0" i="0">
                  <a:latin typeface="Cambria Math" panose="02040503050406030204" pitchFamily="18" charset="0"/>
                </a:rPr>
                <a:t>𝐴)/(</a:t>
              </a:r>
              <a:r>
                <a:rPr lang="es-CO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CO" sz="1600" b="0" i="0">
                  <a:latin typeface="Cambria Math" panose="02040503050406030204" pitchFamily="18" charset="0"/>
                </a:rPr>
                <a:t>𝐴^2 )</a:t>
              </a:r>
              <a:endParaRPr lang="es-CO" sz="1600"/>
            </a:p>
          </xdr:txBody>
        </xdr:sp>
      </mc:Fallback>
    </mc:AlternateContent>
    <xdr:clientData/>
  </xdr:oneCellAnchor>
  <xdr:oneCellAnchor>
    <xdr:from>
      <xdr:col>1</xdr:col>
      <xdr:colOff>76200</xdr:colOff>
      <xdr:row>85</xdr:row>
      <xdr:rowOff>19050</xdr:rowOff>
    </xdr:from>
    <xdr:ext cx="19578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1590675" y="18640425"/>
              <a:ext cx="19578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CO" sz="1100" b="0" i="1">
                      <a:latin typeface="Cambria Math" panose="02040503050406030204" pitchFamily="18" charset="0"/>
                    </a:rPr>
                    <m:t>𝑆𝑖</m:t>
                  </m:r>
                  <m:r>
                    <a:rPr lang="es-CO" sz="1100" b="0" i="1">
                      <a:latin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</a:rPr>
                    <m:t>𝑍</m:t>
                  </m:r>
                  <m:r>
                    <a:rPr lang="es-CO" sz="1100" b="0" i="1">
                      <a:latin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𝜖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d>
                    <m:dPr>
                      <m:begChr m:val="["/>
                      <m:endChr m:val="]"/>
                      <m:ctrlPr>
                        <a:rPr lang="es-CO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dPr>
                    <m:e>
                      <m:r>
                        <a:rPr lang="es-CO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−1.96,1.96</m:t>
                      </m:r>
                    </m:e>
                  </m:d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𝑠𝑒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𝑎𝑐𝑒𝑝𝑡𝑎</m:t>
                  </m:r>
                </m:oMath>
              </a14:m>
              <a:r>
                <a:rPr lang="es-CO" sz="1100"/>
                <a:t> Ho</a:t>
              </a:r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3AD8E98-0B83-4EE8-8E83-D925AD7D6737}"/>
                </a:ext>
              </a:extLst>
            </xdr:cNvPr>
            <xdr:cNvSpPr txBox="1"/>
          </xdr:nvSpPr>
          <xdr:spPr>
            <a:xfrm>
              <a:off x="1590675" y="18640425"/>
              <a:ext cx="19578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O" sz="1100" b="0" i="0">
                  <a:latin typeface="Cambria Math" panose="02040503050406030204" pitchFamily="18" charset="0"/>
                </a:rPr>
                <a:t>𝑆𝑖 𝑍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𝜖 [−1.96,1.96]  𝑠𝑒 𝑎𝑐𝑒𝑝𝑡𝑎</a:t>
              </a:r>
              <a:r>
                <a:rPr lang="es-CO" sz="1100"/>
                <a:t> Ho</a:t>
              </a:r>
            </a:p>
          </xdr:txBody>
        </xdr:sp>
      </mc:Fallback>
    </mc:AlternateContent>
    <xdr:clientData/>
  </xdr:oneCellAnchor>
  <xdr:oneCellAnchor>
    <xdr:from>
      <xdr:col>3</xdr:col>
      <xdr:colOff>666750</xdr:colOff>
      <xdr:row>95</xdr:row>
      <xdr:rowOff>66675</xdr:rowOff>
    </xdr:from>
    <xdr:ext cx="1533525" cy="377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 txBox="1"/>
          </xdr:nvSpPr>
          <xdr:spPr>
            <a:xfrm>
              <a:off x="2905125" y="18859500"/>
              <a:ext cx="1533525" cy="377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𝝁</m:t>
                        </m:r>
                      </m:e>
                      <m:sub>
                        <m:r>
                          <a:rPr lang="es-CO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𝑩</m:t>
                        </m:r>
                      </m:sub>
                    </m:sSub>
                    <m:r>
                      <a:rPr lang="es-CO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  <m:sSub>
                          <m:sSubPr>
                            <m:ctrlPr>
                              <a:rPr lang="es-CO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𝒏</m:t>
                            </m:r>
                          </m:e>
                          <m:sub>
                            <m:r>
                              <a:rPr lang="es-CO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</m:sub>
                        </m:sSub>
                        <m:sSub>
                          <m:sSubPr>
                            <m:ctrlPr>
                              <a:rPr lang="es-CO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𝒏</m:t>
                            </m:r>
                          </m:e>
                          <m:sub>
                            <m:r>
                              <a:rPr lang="es-CO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𝒏</m:t>
                            </m:r>
                          </m:e>
                          <m:sub>
                            <m: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𝟏</m:t>
                            </m:r>
                          </m:sub>
                        </m:sSub>
                        <m:sSub>
                          <m:sSubPr>
                            <m:ctrlP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𝒏</m:t>
                            </m:r>
                          </m:e>
                          <m:sub>
                            <m:r>
                              <a:rPr lang="es-CO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b>
                        </m:sSub>
                      </m:den>
                    </m:f>
                    <m:r>
                      <a:rPr lang="es-CO" sz="12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 </m:t>
                    </m:r>
                    <m:f>
                      <m:fPr>
                        <m:ctrlPr>
                          <a:rPr lang="es-CO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CO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num>
                      <m:den>
                        <m:r>
                          <a:rPr lang="es-CO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𝟐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E175FDFA-48EE-43C3-96A7-7EC3B7DAEC78}"/>
                </a:ext>
              </a:extLst>
            </xdr:cNvPr>
            <xdr:cNvSpPr txBox="1"/>
          </xdr:nvSpPr>
          <xdr:spPr>
            <a:xfrm>
              <a:off x="2905125" y="18859500"/>
              <a:ext cx="1533525" cy="377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2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𝝁_𝑩=(𝟐𝒏_𝟏 𝒏_𝟐)/(</a:t>
              </a:r>
              <a:r>
                <a:rPr lang="es-CO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𝒏_𝟏 〖+𝒏〗_𝟐 </a:t>
              </a:r>
              <a:r>
                <a:rPr lang="es-CO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s-CO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  𝟏/𝟐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3</xdr:col>
      <xdr:colOff>638175</xdr:colOff>
      <xdr:row>97</xdr:row>
      <xdr:rowOff>171450</xdr:rowOff>
    </xdr:from>
    <xdr:ext cx="1959126" cy="3561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2876550" y="19354800"/>
              <a:ext cx="1959126" cy="3561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𝝈</m:t>
                        </m:r>
                      </m:e>
                      <m:sub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𝑩</m:t>
                        </m:r>
                      </m:sub>
                      <m:sup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𝟐</m:t>
                        </m:r>
                      </m:sup>
                    </m:sSubSup>
                    <m:r>
                      <a:rPr lang="es-CO" sz="1100" b="1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𝟐</m:t>
                        </m:r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e>
                          <m:sub>
                            <m:r>
                              <a:rPr lang="es-CO" sz="1100" b="1" i="1">
                                <a:latin typeface="Cambria Math" panose="02040503050406030204" pitchFamily="18" charset="0"/>
                              </a:rPr>
                              <m:t>𝟏</m:t>
                            </m:r>
                          </m:sub>
                        </m:sSub>
                        <m:sSub>
                          <m:sSub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𝒏</m:t>
                            </m:r>
                          </m:e>
                          <m:sub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b>
                        </m:sSub>
                        <m:d>
                          <m:d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𝒏</m:t>
                                </m:r>
                              </m:e>
                              <m: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𝒏</m:t>
                                </m:r>
                              </m:e>
                              <m: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b>
                            </m:sSub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𝒏</m:t>
                                </m:r>
                              </m:e>
                              <m: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𝟏</m:t>
                                </m:r>
                              </m:sub>
                            </m:sSub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𝒏</m:t>
                                </m:r>
                              </m:e>
                              <m: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num>
                      <m:den>
                        <m:sSup>
                          <m:s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CO" sz="1100" b="1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𝒏</m:t>
                                    </m:r>
                                  </m:e>
                                  <m:sub>
                                    <m: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𝟏</m:t>
                                    </m:r>
                                  </m:sub>
                                </m:s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𝒏</m:t>
                                    </m:r>
                                  </m:e>
                                  <m:sub>
                                    <m: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𝟐</m:t>
                                    </m:r>
                                  </m:sub>
                                </m:sSub>
                              </m:e>
                            </m:d>
                          </m:e>
                          <m:sup>
                            <m:r>
                              <a:rPr lang="es-CO" sz="11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  <m:d>
                          <m:d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𝒏</m:t>
                                </m:r>
                              </m:e>
                              <m: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𝟏</m:t>
                                </m:r>
                              </m:sub>
                            </m:sSub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𝒏</m:t>
                                </m:r>
                              </m:e>
                              <m:sub>
                                <m: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b>
                            </m:sSub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𝟏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2920271-5D6A-4EFE-BED4-A0689E6A16F5}"/>
                </a:ext>
              </a:extLst>
            </xdr:cNvPr>
            <xdr:cNvSpPr txBox="1"/>
          </xdr:nvSpPr>
          <xdr:spPr>
            <a:xfrm>
              <a:off x="2876550" y="19354800"/>
              <a:ext cx="1959126" cy="3561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𝝈_</a:t>
              </a:r>
              <a:r>
                <a:rPr lang="es-CO" sz="1100" b="1" i="0">
                  <a:latin typeface="Cambria Math" panose="02040503050406030204" pitchFamily="18" charset="0"/>
                </a:rPr>
                <a:t>𝑩^𝟐=(𝟐𝒏_𝟏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𝒏_𝟐 (𝟐𝒏_𝟏 𝒏_𝟐−𝒏_𝟏−𝒏_𝟐 ))/((𝒏_𝟏+𝒏_𝟐 )^</a:t>
              </a:r>
              <a:r>
                <a:rPr lang="es-CO" sz="1100" b="1" i="0">
                  <a:latin typeface="Cambria Math" panose="02040503050406030204" pitchFamily="18" charset="0"/>
                </a:rPr>
                <a:t>𝟐 (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𝒏_𝟏+𝒏_𝟐−𝟏) 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0</xdr:col>
      <xdr:colOff>752475</xdr:colOff>
      <xdr:row>103</xdr:row>
      <xdr:rowOff>180975</xdr:rowOff>
    </xdr:from>
    <xdr:ext cx="733425" cy="3885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752475" y="20516850"/>
              <a:ext cx="733425" cy="3885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600" b="0"/>
                <a:t>Z</a:t>
              </a:r>
              <a14:m>
                <m:oMath xmlns:m="http://schemas.openxmlformats.org/officeDocument/2006/math">
                  <m:r>
                    <a:rPr lang="es-CO" sz="16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s-CO" sz="16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s-CO" sz="1600" b="0" i="1">
                          <a:latin typeface="Cambria Math" panose="02040503050406030204" pitchFamily="18" charset="0"/>
                        </a:rPr>
                        <m:t>𝐵</m:t>
                      </m:r>
                      <m:r>
                        <a:rPr lang="es-CO" sz="1600" b="0" i="1"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s-CO" sz="16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s-CO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𝜇</m:t>
                          </m:r>
                        </m:e>
                        <m:sub>
                          <m:r>
                            <a:rPr lang="es-CO" sz="1600" b="0" i="1">
                              <a:latin typeface="Cambria Math" panose="02040503050406030204" pitchFamily="18" charset="0"/>
                            </a:rPr>
                            <m:t>𝐵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CO" sz="16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s-CO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𝜎</m:t>
                          </m:r>
                        </m:e>
                        <m:sub>
                          <m:r>
                            <a:rPr lang="es-CO" sz="1600" b="0" i="1">
                              <a:latin typeface="Cambria Math" panose="02040503050406030204" pitchFamily="18" charset="0"/>
                            </a:rPr>
                            <m:t>𝐵</m:t>
                          </m:r>
                        </m:sub>
                      </m:sSub>
                    </m:den>
                  </m:f>
                </m:oMath>
              </a14:m>
              <a:endParaRPr lang="es-CO" sz="1600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A819962D-56E5-4AC1-87E0-58FC18CEEF7D}"/>
                </a:ext>
              </a:extLst>
            </xdr:cNvPr>
            <xdr:cNvSpPr txBox="1"/>
          </xdr:nvSpPr>
          <xdr:spPr>
            <a:xfrm>
              <a:off x="752475" y="20516850"/>
              <a:ext cx="733425" cy="3885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600" b="0"/>
                <a:t>Z</a:t>
              </a:r>
              <a:r>
                <a:rPr lang="es-CO" sz="1600" b="0" i="0">
                  <a:latin typeface="Cambria Math" panose="02040503050406030204" pitchFamily="18" charset="0"/>
                </a:rPr>
                <a:t>=(𝐵−</a:t>
              </a:r>
              <a:r>
                <a:rPr lang="es-CO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600" b="0" i="0">
                  <a:latin typeface="Cambria Math" panose="02040503050406030204" pitchFamily="18" charset="0"/>
                </a:rPr>
                <a:t>𝐵)/</a:t>
              </a:r>
              <a:r>
                <a:rPr lang="es-CO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CO" sz="1600" b="0" i="0">
                  <a:latin typeface="Cambria Math" panose="02040503050406030204" pitchFamily="18" charset="0"/>
                </a:rPr>
                <a:t>𝐵 </a:t>
              </a:r>
              <a:endParaRPr lang="es-CO" sz="1600"/>
            </a:p>
          </xdr:txBody>
        </xdr:sp>
      </mc:Fallback>
    </mc:AlternateContent>
    <xdr:clientData/>
  </xdr:oneCellAnchor>
  <xdr:oneCellAnchor>
    <xdr:from>
      <xdr:col>1</xdr:col>
      <xdr:colOff>76200</xdr:colOff>
      <xdr:row>106</xdr:row>
      <xdr:rowOff>19050</xdr:rowOff>
    </xdr:from>
    <xdr:ext cx="19578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590675" y="22936200"/>
              <a:ext cx="19578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CO" sz="1100" b="0" i="1">
                      <a:latin typeface="Cambria Math" panose="02040503050406030204" pitchFamily="18" charset="0"/>
                    </a:rPr>
                    <m:t>𝑆𝑖</m:t>
                  </m:r>
                  <m:r>
                    <a:rPr lang="es-CO" sz="1100" b="0" i="1">
                      <a:latin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</a:rPr>
                    <m:t>𝑍</m:t>
                  </m:r>
                  <m:r>
                    <a:rPr lang="es-CO" sz="1100" b="0" i="1">
                      <a:latin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𝜖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d>
                    <m:dPr>
                      <m:begChr m:val="["/>
                      <m:endChr m:val="]"/>
                      <m:ctrlPr>
                        <a:rPr lang="es-CO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dPr>
                    <m:e>
                      <m:r>
                        <a:rPr lang="es-CO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−1.96,1.96</m:t>
                      </m:r>
                    </m:e>
                  </m:d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𝑠𝑒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𝑎𝑐𝑒𝑝𝑡𝑎</m:t>
                  </m:r>
                </m:oMath>
              </a14:m>
              <a:r>
                <a:rPr lang="es-CO" sz="1100"/>
                <a:t> Ho</a:t>
              </a:r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DE1A0B30-BC08-4E62-B4E2-8BD0F6399535}"/>
                </a:ext>
              </a:extLst>
            </xdr:cNvPr>
            <xdr:cNvSpPr txBox="1"/>
          </xdr:nvSpPr>
          <xdr:spPr>
            <a:xfrm>
              <a:off x="1590675" y="22936200"/>
              <a:ext cx="19578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O" sz="1100" b="0" i="0">
                  <a:latin typeface="Cambria Math" panose="02040503050406030204" pitchFamily="18" charset="0"/>
                </a:rPr>
                <a:t>𝑆𝑖 𝑍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𝜖 [−1.96,1.96]  𝑠𝑒 𝑎𝑐𝑒𝑝𝑡𝑎</a:t>
              </a:r>
              <a:r>
                <a:rPr lang="es-CO" sz="1100"/>
                <a:t> Ho</a:t>
              </a:r>
            </a:p>
          </xdr:txBody>
        </xdr:sp>
      </mc:Fallback>
    </mc:AlternateContent>
    <xdr:clientData/>
  </xdr:oneCellAnchor>
  <xdr:oneCellAnchor>
    <xdr:from>
      <xdr:col>1</xdr:col>
      <xdr:colOff>400049</xdr:colOff>
      <xdr:row>110</xdr:row>
      <xdr:rowOff>180975</xdr:rowOff>
    </xdr:from>
    <xdr:ext cx="4981576" cy="30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162049" y="21936075"/>
              <a:ext cx="4981576" cy="30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CO" sz="1400" b="0" i="1">
                      <a:latin typeface="Cambria Math" panose="02040503050406030204" pitchFamily="18" charset="0"/>
                    </a:rPr>
                    <m:t>𝑓</m:t>
                  </m:r>
                  <m:d>
                    <m:dPr>
                      <m:ctrlPr>
                        <a:rPr lang="es-CO" sz="14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𝑥</m:t>
                      </m:r>
                    </m:e>
                  </m:d>
                  <m:r>
                    <a:rPr lang="es-CO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s-CO" sz="1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s-CO" sz="14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𝑏</m:t>
                      </m:r>
                      <m:r>
                        <a:rPr lang="es-CO" sz="14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𝑎</m:t>
                      </m:r>
                    </m:den>
                  </m:f>
                  <m:r>
                    <a:rPr lang="es-CO" sz="1400" b="0" i="1">
                      <a:latin typeface="Cambria Math" panose="02040503050406030204" pitchFamily="18" charset="0"/>
                    </a:rPr>
                    <m:t>              ; </m:t>
                  </m:r>
                  <m:r>
                    <a:rPr lang="es-CO" sz="1400" b="0" i="1">
                      <a:latin typeface="Cambria Math" panose="02040503050406030204" pitchFamily="18" charset="0"/>
                    </a:rPr>
                    <m:t>𝐹</m:t>
                  </m:r>
                  <m:d>
                    <m:dPr>
                      <m:ctrlPr>
                        <a:rPr lang="es-CO" sz="14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𝑥</m:t>
                      </m:r>
                    </m:e>
                  </m:d>
                  <m:r>
                    <a:rPr lang="es-CO" sz="14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s-CO" sz="1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𝑥</m:t>
                      </m:r>
                      <m:r>
                        <a:rPr lang="es-CO" sz="14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𝑎</m:t>
                      </m:r>
                    </m:num>
                    <m:den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𝑏</m:t>
                      </m:r>
                      <m:r>
                        <a:rPr lang="es-CO" sz="14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𝑎</m:t>
                      </m:r>
                    </m:den>
                  </m:f>
                  <m:r>
                    <a:rPr lang="es-CO" sz="1400" b="0" i="1">
                      <a:latin typeface="Cambria Math" panose="02040503050406030204" pitchFamily="18" charset="0"/>
                    </a:rPr>
                    <m:t>             ;</m:t>
                  </m:r>
                  <m:r>
                    <a:rPr lang="es-CO" sz="1400" b="0" i="1">
                      <a:latin typeface="Cambria Math" panose="02040503050406030204" pitchFamily="18" charset="0"/>
                    </a:rPr>
                    <m:t>𝑥</m:t>
                  </m:r>
                  <m:r>
                    <a:rPr lang="es-CO" sz="1400" b="0" i="1">
                      <a:latin typeface="Cambria Math" panose="02040503050406030204" pitchFamily="18" charset="0"/>
                    </a:rPr>
                    <m:t>=</m:t>
                  </m:r>
                  <m:r>
                    <a:rPr lang="es-CO" sz="1400" b="0" i="1">
                      <a:latin typeface="Cambria Math" panose="02040503050406030204" pitchFamily="18" charset="0"/>
                    </a:rPr>
                    <m:t>𝑎</m:t>
                  </m:r>
                  <m:r>
                    <a:rPr lang="es-CO" sz="1400" b="0" i="1">
                      <a:latin typeface="Cambria Math" panose="02040503050406030204" pitchFamily="18" charset="0"/>
                    </a:rPr>
                    <m:t>+</m:t>
                  </m:r>
                  <m:d>
                    <m:dPr>
                      <m:ctrlPr>
                        <a:rPr lang="es-CO" sz="14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𝑏</m:t>
                      </m:r>
                      <m:r>
                        <a:rPr lang="es-CO" sz="14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s-CO" sz="1400" b="0" i="1">
                          <a:latin typeface="Cambria Math" panose="02040503050406030204" pitchFamily="18" charset="0"/>
                        </a:rPr>
                        <m:t>𝑎</m:t>
                      </m:r>
                    </m:e>
                  </m:d>
                  <m:r>
                    <a:rPr lang="es-CO" sz="1400" b="0" i="1">
                      <a:latin typeface="Cambria Math" panose="02040503050406030204" pitchFamily="18" charset="0"/>
                    </a:rPr>
                    <m:t>𝑅𝑛𝑑</m:t>
                  </m:r>
                </m:oMath>
              </a14:m>
              <a:r>
                <a:rPr lang="es-CO" sz="1400" i="1" baseline="0"/>
                <a:t>     </a:t>
              </a:r>
              <a:endParaRPr lang="es-CO" sz="14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845353A-D55E-4D04-B7D0-B11A1BA3F577}"/>
                </a:ext>
              </a:extLst>
            </xdr:cNvPr>
            <xdr:cNvSpPr txBox="1"/>
          </xdr:nvSpPr>
          <xdr:spPr>
            <a:xfrm>
              <a:off x="1162049" y="21936075"/>
              <a:ext cx="4981576" cy="30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400" b="0" i="0">
                  <a:latin typeface="Cambria Math" panose="02040503050406030204" pitchFamily="18" charset="0"/>
                </a:rPr>
                <a:t>𝑓(𝑥)=  1/(𝑏−𝑎)               ; 𝐹(𝑥)=(𝑥−𝑎)/(𝑏−𝑎)              ;𝑥=𝑎+(𝑏−𝑎)𝑅𝑛𝑑</a:t>
              </a:r>
              <a:r>
                <a:rPr lang="es-CO" sz="1400" i="1" baseline="0"/>
                <a:t>     </a:t>
              </a:r>
              <a:endParaRPr lang="es-CO" sz="1400"/>
            </a:p>
          </xdr:txBody>
        </xdr:sp>
      </mc:Fallback>
    </mc:AlternateContent>
    <xdr:clientData/>
  </xdr:oneCellAnchor>
  <xdr:oneCellAnchor>
    <xdr:from>
      <xdr:col>10</xdr:col>
      <xdr:colOff>1000125</xdr:colOff>
      <xdr:row>113</xdr:row>
      <xdr:rowOff>180975</xdr:rowOff>
    </xdr:from>
    <xdr:ext cx="2114550" cy="2440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10458450" y="22507575"/>
              <a:ext cx="2114550" cy="2440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𝒕</m:t>
                        </m:r>
                      </m:e>
                      <m:sub>
                        <m:f>
                          <m:f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CO" sz="1100" b="1" i="1">
                                <a:latin typeface="Cambria Math" panose="02040503050406030204" pitchFamily="18" charset="0"/>
                              </a:rPr>
                              <m:t>𝜶</m:t>
                            </m:r>
                          </m:num>
                          <m:den>
                            <m:r>
                              <a:rPr lang="es-CO" sz="11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den>
                        </m:f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𝑵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𝒕</m:t>
                        </m:r>
                      </m:e>
                      <m:sub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𝟎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.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𝟎𝟐𝟓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𝑵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CO" sz="11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75938F31-3546-4DB4-BBDB-A697F862A4C3}"/>
                </a:ext>
              </a:extLst>
            </xdr:cNvPr>
            <xdr:cNvSpPr txBox="1"/>
          </xdr:nvSpPr>
          <xdr:spPr>
            <a:xfrm>
              <a:off x="10458450" y="22507575"/>
              <a:ext cx="2114550" cy="2440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100" b="1" i="0">
                  <a:latin typeface="Cambria Math" panose="02040503050406030204" pitchFamily="18" charset="0"/>
                </a:rPr>
                <a:t>𝒕_(𝜶/𝟐,𝑵−𝟏)=𝒕_(𝟎.𝟎𝟐𝟓,𝑵−𝟏)</a:t>
              </a:r>
              <a:endParaRPr lang="es-CO" sz="1100" b="1"/>
            </a:p>
          </xdr:txBody>
        </xdr:sp>
      </mc:Fallback>
    </mc:AlternateContent>
    <xdr:clientData/>
  </xdr:oneCellAnchor>
  <xdr:twoCellAnchor>
    <xdr:from>
      <xdr:col>10</xdr:col>
      <xdr:colOff>161925</xdr:colOff>
      <xdr:row>42</xdr:row>
      <xdr:rowOff>180975</xdr:rowOff>
    </xdr:from>
    <xdr:to>
      <xdr:col>14</xdr:col>
      <xdr:colOff>438150</xdr:colOff>
      <xdr:row>57</xdr:row>
      <xdr:rowOff>66675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A49E5316-48D6-46A1-95AF-09F24E920A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6E819-268B-4ED5-82E1-27AE73A36E63}">
  <sheetPr codeName="Hoja3"/>
  <dimension ref="A1:U148"/>
  <sheetViews>
    <sheetView topLeftCell="F44" workbookViewId="0">
      <selection activeCell="K62" sqref="K62"/>
    </sheetView>
  </sheetViews>
  <sheetFormatPr baseColWidth="10" defaultRowHeight="15" x14ac:dyDescent="0.25"/>
  <cols>
    <col min="1" max="1" width="11.42578125" style="79"/>
    <col min="2" max="2" width="10.7109375" style="79" customWidth="1"/>
    <col min="3" max="4" width="11.42578125" style="79"/>
    <col min="5" max="5" width="18.85546875" style="79" bestFit="1" customWidth="1"/>
    <col min="6" max="6" width="18.85546875" style="79" customWidth="1"/>
    <col min="7" max="7" width="24.85546875" style="80" customWidth="1"/>
    <col min="8" max="8" width="13.85546875" style="79" bestFit="1" customWidth="1"/>
    <col min="9" max="10" width="11.42578125" style="79"/>
    <col min="11" max="11" width="22.140625" style="79" customWidth="1"/>
    <col min="12" max="12" width="17.140625" style="79" customWidth="1"/>
    <col min="13" max="13" width="13.7109375" style="79" customWidth="1"/>
    <col min="14" max="16384" width="11.42578125" style="79"/>
  </cols>
  <sheetData>
    <row r="1" spans="1:8" x14ac:dyDescent="0.25">
      <c r="A1" s="78" t="s">
        <v>10</v>
      </c>
      <c r="B1" s="79" t="s">
        <v>11</v>
      </c>
      <c r="C1" s="79" t="s">
        <v>84</v>
      </c>
    </row>
    <row r="2" spans="1:8" x14ac:dyDescent="0.25">
      <c r="B2" s="79" t="s">
        <v>12</v>
      </c>
      <c r="C2" s="79" t="s">
        <v>83</v>
      </c>
    </row>
    <row r="3" spans="1:8" x14ac:dyDescent="0.25">
      <c r="B3" s="79" t="s">
        <v>13</v>
      </c>
      <c r="C3" s="79" t="s">
        <v>82</v>
      </c>
    </row>
    <row r="4" spans="1:8" x14ac:dyDescent="0.25">
      <c r="B4" s="79" t="s">
        <v>14</v>
      </c>
      <c r="C4" s="206" t="s">
        <v>90</v>
      </c>
    </row>
    <row r="6" spans="1:8" x14ac:dyDescent="0.25">
      <c r="A6" s="78" t="s">
        <v>15</v>
      </c>
      <c r="B6" s="80" t="s">
        <v>16</v>
      </c>
      <c r="C6" s="81">
        <v>1</v>
      </c>
      <c r="D6" s="81">
        <v>2</v>
      </c>
      <c r="E6" s="81">
        <v>3</v>
      </c>
      <c r="F6" s="81">
        <v>4</v>
      </c>
      <c r="G6" s="81">
        <v>5</v>
      </c>
      <c r="H6" s="81">
        <v>6</v>
      </c>
    </row>
    <row r="7" spans="1:8" x14ac:dyDescent="0.25">
      <c r="B7" s="80" t="s">
        <v>17</v>
      </c>
      <c r="C7" s="82">
        <f>1/21</f>
        <v>4.7619047619047616E-2</v>
      </c>
      <c r="D7" s="83">
        <f>2/21</f>
        <v>9.5238095238095233E-2</v>
      </c>
      <c r="E7" s="83">
        <f>3/21</f>
        <v>0.14285714285714285</v>
      </c>
      <c r="F7" s="83">
        <f>4/21</f>
        <v>0.19047619047619047</v>
      </c>
      <c r="G7" s="83">
        <f>5/21</f>
        <v>0.23809523809523808</v>
      </c>
      <c r="H7" s="83">
        <f>6/21</f>
        <v>0.2857142857142857</v>
      </c>
    </row>
    <row r="8" spans="1:8" x14ac:dyDescent="0.25">
      <c r="B8" s="80" t="s">
        <v>18</v>
      </c>
      <c r="C8" s="82">
        <f>C7</f>
        <v>4.7619047619047616E-2</v>
      </c>
      <c r="D8" s="83">
        <f>C8+D7</f>
        <v>0.14285714285714285</v>
      </c>
      <c r="E8" s="83">
        <f>D8+E7</f>
        <v>0.2857142857142857</v>
      </c>
      <c r="F8" s="83">
        <f>E8+F7</f>
        <v>0.47619047619047616</v>
      </c>
      <c r="G8" s="83">
        <f t="shared" ref="G8:H8" si="0">F8+G7</f>
        <v>0.71428571428571419</v>
      </c>
      <c r="H8" s="83">
        <f t="shared" si="0"/>
        <v>0.99999999999999989</v>
      </c>
    </row>
    <row r="9" spans="1:8" x14ac:dyDescent="0.25">
      <c r="B9" s="80"/>
      <c r="G9" s="79"/>
    </row>
    <row r="10" spans="1:8" x14ac:dyDescent="0.25">
      <c r="B10" s="80"/>
      <c r="G10" s="79"/>
    </row>
    <row r="11" spans="1:8" x14ac:dyDescent="0.25">
      <c r="B11" s="80"/>
      <c r="G11" s="79"/>
    </row>
    <row r="12" spans="1:8" x14ac:dyDescent="0.25">
      <c r="B12" s="80"/>
      <c r="G12" s="79"/>
    </row>
    <row r="13" spans="1:8" x14ac:dyDescent="0.25">
      <c r="B13" s="80"/>
      <c r="G13" s="79"/>
    </row>
    <row r="14" spans="1:8" x14ac:dyDescent="0.25">
      <c r="B14" s="80"/>
      <c r="G14" s="79"/>
    </row>
    <row r="15" spans="1:8" x14ac:dyDescent="0.25">
      <c r="B15" s="80"/>
      <c r="G15" s="79"/>
    </row>
    <row r="16" spans="1:8" x14ac:dyDescent="0.25">
      <c r="B16" s="80"/>
      <c r="G16" s="79"/>
    </row>
    <row r="17" spans="1:21" x14ac:dyDescent="0.25">
      <c r="B17" s="80"/>
      <c r="G17" s="79"/>
    </row>
    <row r="18" spans="1:21" x14ac:dyDescent="0.25">
      <c r="B18" s="80"/>
      <c r="G18" s="79"/>
    </row>
    <row r="19" spans="1:21" x14ac:dyDescent="0.25">
      <c r="B19" s="80"/>
      <c r="G19" s="79"/>
    </row>
    <row r="20" spans="1:21" x14ac:dyDescent="0.25">
      <c r="B20" s="80"/>
      <c r="G20" s="79"/>
    </row>
    <row r="21" spans="1:21" x14ac:dyDescent="0.25">
      <c r="B21" s="80"/>
      <c r="G21" s="79"/>
    </row>
    <row r="22" spans="1:21" x14ac:dyDescent="0.25">
      <c r="B22" s="80"/>
      <c r="G22" s="79"/>
    </row>
    <row r="23" spans="1:21" x14ac:dyDescent="0.25">
      <c r="B23" s="80"/>
      <c r="G23" s="79"/>
    </row>
    <row r="24" spans="1:21" x14ac:dyDescent="0.25">
      <c r="B24" s="80"/>
      <c r="G24" s="79"/>
    </row>
    <row r="25" spans="1:21" x14ac:dyDescent="0.25">
      <c r="A25" s="78" t="s">
        <v>21</v>
      </c>
      <c r="B25" s="80"/>
      <c r="G25" s="79"/>
    </row>
    <row r="26" spans="1:21" x14ac:dyDescent="0.25">
      <c r="B26" s="179" t="s">
        <v>33</v>
      </c>
      <c r="C26" s="180"/>
      <c r="D26" s="180"/>
      <c r="E26" s="180"/>
      <c r="F26" s="181"/>
    </row>
    <row r="27" spans="1:21" x14ac:dyDescent="0.25">
      <c r="B27" s="84" t="s">
        <v>34</v>
      </c>
      <c r="C27" s="85"/>
      <c r="D27" s="85"/>
      <c r="E27" s="85"/>
      <c r="F27" s="86"/>
    </row>
    <row r="28" spans="1:21" x14ac:dyDescent="0.25">
      <c r="B28" s="87" t="s">
        <v>35</v>
      </c>
      <c r="C28" s="88"/>
      <c r="D28" s="88"/>
      <c r="E28" s="88"/>
      <c r="F28" s="89"/>
    </row>
    <row r="29" spans="1:21" ht="15.75" thickBot="1" x14ac:dyDescent="0.3">
      <c r="B29" s="90" t="s">
        <v>31</v>
      </c>
      <c r="D29" s="80"/>
      <c r="G29" s="90" t="s">
        <v>32</v>
      </c>
    </row>
    <row r="30" spans="1:21" x14ac:dyDescent="0.25">
      <c r="A30" s="80"/>
      <c r="B30" s="91"/>
      <c r="C30" s="91"/>
      <c r="D30" s="91"/>
      <c r="E30" s="91" t="s">
        <v>23</v>
      </c>
      <c r="F30" s="91" t="s">
        <v>24</v>
      </c>
      <c r="K30" s="92" t="s">
        <v>0</v>
      </c>
      <c r="L30" s="93">
        <v>1</v>
      </c>
      <c r="M30" s="93">
        <v>2</v>
      </c>
      <c r="N30" s="93">
        <v>3</v>
      </c>
      <c r="O30" s="93">
        <v>4</v>
      </c>
      <c r="P30" s="93">
        <v>5</v>
      </c>
      <c r="Q30" s="93"/>
      <c r="R30" s="93"/>
      <c r="S30" s="93"/>
      <c r="T30" s="93"/>
      <c r="U30" s="94"/>
    </row>
    <row r="31" spans="1:21" x14ac:dyDescent="0.25">
      <c r="B31" s="91" t="s">
        <v>19</v>
      </c>
      <c r="C31" s="91" t="s">
        <v>20</v>
      </c>
      <c r="D31" s="91" t="s">
        <v>22</v>
      </c>
      <c r="E31" s="91" t="s">
        <v>25</v>
      </c>
      <c r="F31" s="91" t="s">
        <v>26</v>
      </c>
      <c r="H31" s="80"/>
      <c r="I31" s="80"/>
      <c r="K31" s="95" t="s">
        <v>1</v>
      </c>
      <c r="L31" s="96">
        <v>0</v>
      </c>
      <c r="M31" s="96">
        <v>0.2</v>
      </c>
      <c r="N31" s="96">
        <v>0.4</v>
      </c>
      <c r="O31" s="96">
        <v>0.60000000000000009</v>
      </c>
      <c r="P31" s="96">
        <v>0.8</v>
      </c>
      <c r="Q31" s="96"/>
      <c r="R31" s="96"/>
      <c r="S31" s="96"/>
      <c r="T31" s="96"/>
      <c r="U31" s="97"/>
    </row>
    <row r="32" spans="1:21" x14ac:dyDescent="0.25">
      <c r="B32" s="98">
        <v>3.7699999999999997E-2</v>
      </c>
      <c r="C32" s="99">
        <v>1</v>
      </c>
      <c r="D32" s="99">
        <f>C32/20</f>
        <v>0.05</v>
      </c>
      <c r="E32" s="99">
        <f>D32-B32</f>
        <v>1.2300000000000005E-2</v>
      </c>
      <c r="F32" s="99">
        <f>B32-((C32-1)/20)</f>
        <v>3.7699999999999997E-2</v>
      </c>
      <c r="G32" s="79"/>
      <c r="K32" s="95" t="s">
        <v>2</v>
      </c>
      <c r="L32" s="96">
        <v>0.2</v>
      </c>
      <c r="M32" s="96">
        <v>0.4</v>
      </c>
      <c r="N32" s="96">
        <v>0.60000000000000009</v>
      </c>
      <c r="O32" s="96">
        <v>0.8</v>
      </c>
      <c r="P32" s="96">
        <v>1</v>
      </c>
      <c r="Q32" s="96"/>
      <c r="R32" s="96"/>
      <c r="S32" s="96"/>
      <c r="T32" s="96"/>
      <c r="U32" s="97"/>
    </row>
    <row r="33" spans="2:21" x14ac:dyDescent="0.25">
      <c r="B33" s="98">
        <v>7.5499999999999998E-2</v>
      </c>
      <c r="C33" s="99">
        <v>2</v>
      </c>
      <c r="D33" s="99">
        <f t="shared" ref="D33:D51" si="1">C33/20</f>
        <v>0.1</v>
      </c>
      <c r="E33" s="99">
        <f t="shared" ref="E33:E51" si="2">D33-B33</f>
        <v>2.4500000000000008E-2</v>
      </c>
      <c r="F33" s="99">
        <f t="shared" ref="F33:F51" si="3">B33-((C33-1)/20)</f>
        <v>2.5499999999999995E-2</v>
      </c>
      <c r="G33" s="79"/>
      <c r="K33" s="95" t="s">
        <v>3</v>
      </c>
      <c r="L33" s="96">
        <v>0.2</v>
      </c>
      <c r="M33" s="96">
        <v>0.4</v>
      </c>
      <c r="N33" s="96">
        <v>0.60000000000000009</v>
      </c>
      <c r="O33" s="96">
        <v>0.8</v>
      </c>
      <c r="P33" s="96">
        <v>1</v>
      </c>
      <c r="Q33" s="96"/>
      <c r="R33" s="96"/>
      <c r="S33" s="96"/>
      <c r="T33" s="96"/>
      <c r="U33" s="97"/>
    </row>
    <row r="34" spans="2:21" x14ac:dyDescent="0.25">
      <c r="B34" s="98">
        <v>0.16980000000000001</v>
      </c>
      <c r="C34" s="99">
        <v>3</v>
      </c>
      <c r="D34" s="99">
        <f t="shared" si="1"/>
        <v>0.15</v>
      </c>
      <c r="E34" s="99">
        <f t="shared" si="2"/>
        <v>-1.9800000000000012E-2</v>
      </c>
      <c r="F34" s="99">
        <f t="shared" si="3"/>
        <v>6.9800000000000001E-2</v>
      </c>
      <c r="G34" s="79"/>
      <c r="K34" s="95" t="s">
        <v>4</v>
      </c>
      <c r="L34" s="96">
        <v>4</v>
      </c>
      <c r="M34" s="96">
        <v>2</v>
      </c>
      <c r="N34" s="96">
        <v>1</v>
      </c>
      <c r="O34" s="96">
        <v>8</v>
      </c>
      <c r="P34" s="96">
        <v>5</v>
      </c>
      <c r="Q34" s="96"/>
      <c r="R34" s="96"/>
      <c r="S34" s="96"/>
      <c r="T34" s="96"/>
      <c r="U34" s="97"/>
    </row>
    <row r="35" spans="2:21" x14ac:dyDescent="0.25">
      <c r="B35" s="98">
        <v>0.18870000000000001</v>
      </c>
      <c r="C35" s="99">
        <v>4</v>
      </c>
      <c r="D35" s="99">
        <f t="shared" si="1"/>
        <v>0.2</v>
      </c>
      <c r="E35" s="99">
        <f t="shared" si="2"/>
        <v>1.1300000000000004E-2</v>
      </c>
      <c r="F35" s="99">
        <f t="shared" si="3"/>
        <v>3.8700000000000012E-2</v>
      </c>
      <c r="G35" s="80" t="s">
        <v>9</v>
      </c>
      <c r="H35" s="100">
        <v>5</v>
      </c>
      <c r="K35" s="95" t="s">
        <v>5</v>
      </c>
      <c r="L35" s="96">
        <v>4</v>
      </c>
      <c r="M35" s="96">
        <v>4</v>
      </c>
      <c r="N35" s="96">
        <v>4</v>
      </c>
      <c r="O35" s="96">
        <v>4</v>
      </c>
      <c r="P35" s="96">
        <v>4</v>
      </c>
      <c r="Q35" s="96"/>
      <c r="R35" s="96"/>
      <c r="S35" s="96"/>
      <c r="T35" s="96"/>
      <c r="U35" s="97"/>
    </row>
    <row r="36" spans="2:21" x14ac:dyDescent="0.25">
      <c r="B36" s="98">
        <v>0.32079999999999997</v>
      </c>
      <c r="C36" s="99">
        <v>5</v>
      </c>
      <c r="D36" s="99">
        <f t="shared" si="1"/>
        <v>0.25</v>
      </c>
      <c r="E36" s="99">
        <f t="shared" si="2"/>
        <v>-7.0799999999999974E-2</v>
      </c>
      <c r="F36" s="99">
        <f t="shared" si="3"/>
        <v>0.12079999999999996</v>
      </c>
      <c r="G36" s="79"/>
      <c r="K36" s="95" t="s">
        <v>6</v>
      </c>
      <c r="L36" s="96">
        <v>0</v>
      </c>
      <c r="M36" s="96">
        <v>1</v>
      </c>
      <c r="N36" s="96">
        <v>2.25</v>
      </c>
      <c r="O36" s="96">
        <v>4</v>
      </c>
      <c r="P36" s="96">
        <v>0.25</v>
      </c>
      <c r="Q36" s="96"/>
      <c r="R36" s="96"/>
      <c r="S36" s="96"/>
      <c r="T36" s="96"/>
      <c r="U36" s="97"/>
    </row>
    <row r="37" spans="2:21" ht="15.75" thickBot="1" x14ac:dyDescent="0.3">
      <c r="B37" s="98">
        <v>0.37740000000000001</v>
      </c>
      <c r="C37" s="99">
        <v>6</v>
      </c>
      <c r="D37" s="99">
        <f t="shared" si="1"/>
        <v>0.3</v>
      </c>
      <c r="E37" s="99">
        <f t="shared" si="2"/>
        <v>-7.7400000000000024E-2</v>
      </c>
      <c r="F37" s="99">
        <f t="shared" si="3"/>
        <v>0.12740000000000001</v>
      </c>
      <c r="G37" s="79"/>
      <c r="K37" s="101" t="s">
        <v>7</v>
      </c>
      <c r="L37" s="102">
        <v>0</v>
      </c>
      <c r="M37" s="102">
        <v>1</v>
      </c>
      <c r="N37" s="102">
        <v>3.25</v>
      </c>
      <c r="O37" s="102">
        <v>7.25</v>
      </c>
      <c r="P37" s="103">
        <v>7.5</v>
      </c>
      <c r="Q37" s="102"/>
      <c r="R37" s="102"/>
      <c r="S37" s="102"/>
      <c r="T37" s="102"/>
      <c r="U37" s="104"/>
    </row>
    <row r="38" spans="2:21" x14ac:dyDescent="0.25">
      <c r="B38" s="98">
        <v>0.45279999999999998</v>
      </c>
      <c r="C38" s="99">
        <v>7</v>
      </c>
      <c r="D38" s="99">
        <f t="shared" si="1"/>
        <v>0.35</v>
      </c>
      <c r="E38" s="99">
        <f t="shared" si="2"/>
        <v>-0.1028</v>
      </c>
      <c r="F38" s="99">
        <f t="shared" si="3"/>
        <v>0.15279999999999999</v>
      </c>
      <c r="G38" s="79"/>
      <c r="K38" s="182" t="s">
        <v>8</v>
      </c>
      <c r="L38" s="182"/>
      <c r="M38" s="182"/>
      <c r="N38" s="182"/>
      <c r="O38" s="182"/>
      <c r="P38" s="182"/>
      <c r="Q38" s="182"/>
      <c r="R38" s="182"/>
      <c r="S38" s="182"/>
      <c r="T38" s="182"/>
      <c r="U38" s="182"/>
    </row>
    <row r="39" spans="2:21" x14ac:dyDescent="0.25">
      <c r="B39" s="98">
        <v>0.6038</v>
      </c>
      <c r="C39" s="99">
        <v>8</v>
      </c>
      <c r="D39" s="99">
        <f t="shared" si="1"/>
        <v>0.4</v>
      </c>
      <c r="E39" s="99">
        <f t="shared" si="2"/>
        <v>-0.20379999999999998</v>
      </c>
      <c r="F39" s="99">
        <f t="shared" si="3"/>
        <v>0.25380000000000003</v>
      </c>
      <c r="G39" s="79"/>
      <c r="K39" s="182"/>
      <c r="L39" s="182"/>
      <c r="M39" s="182"/>
      <c r="N39" s="182"/>
      <c r="O39" s="182"/>
      <c r="P39" s="182"/>
      <c r="Q39" s="182"/>
      <c r="R39" s="182"/>
      <c r="S39" s="182"/>
      <c r="T39" s="182"/>
      <c r="U39" s="182"/>
    </row>
    <row r="40" spans="2:21" x14ac:dyDescent="0.25">
      <c r="B40" s="98">
        <v>0.62260000000000004</v>
      </c>
      <c r="C40" s="99">
        <v>9</v>
      </c>
      <c r="D40" s="99">
        <f t="shared" si="1"/>
        <v>0.45</v>
      </c>
      <c r="E40" s="99">
        <f t="shared" si="2"/>
        <v>-0.17260000000000003</v>
      </c>
      <c r="F40" s="99">
        <f t="shared" si="3"/>
        <v>0.22260000000000002</v>
      </c>
      <c r="G40" s="79"/>
      <c r="K40" s="105" t="s">
        <v>87</v>
      </c>
      <c r="L40" s="105"/>
      <c r="M40" s="105"/>
      <c r="N40" s="105"/>
      <c r="O40" s="105"/>
      <c r="P40" s="105"/>
      <c r="Q40" s="105"/>
      <c r="R40" s="105"/>
      <c r="S40" s="105"/>
      <c r="T40" s="105"/>
      <c r="U40" s="105"/>
    </row>
    <row r="41" spans="2:21" x14ac:dyDescent="0.25">
      <c r="B41" s="98">
        <v>0.67920000000000003</v>
      </c>
      <c r="C41" s="99">
        <v>10</v>
      </c>
      <c r="D41" s="99">
        <f t="shared" si="1"/>
        <v>0.5</v>
      </c>
      <c r="E41" s="99">
        <f t="shared" si="2"/>
        <v>-0.17920000000000003</v>
      </c>
      <c r="F41" s="99">
        <f t="shared" si="3"/>
        <v>0.22920000000000001</v>
      </c>
      <c r="G41" s="79"/>
      <c r="K41" s="105" t="s">
        <v>86</v>
      </c>
      <c r="L41" s="105"/>
      <c r="M41" s="105"/>
      <c r="N41" s="105"/>
      <c r="O41" s="105"/>
      <c r="P41" s="105"/>
      <c r="Q41" s="105"/>
      <c r="R41" s="105"/>
      <c r="S41" s="105"/>
      <c r="T41" s="105"/>
      <c r="U41" s="105"/>
    </row>
    <row r="42" spans="2:21" x14ac:dyDescent="0.25">
      <c r="B42" s="98">
        <v>0.69810000000000005</v>
      </c>
      <c r="C42" s="99">
        <v>11</v>
      </c>
      <c r="D42" s="99">
        <f t="shared" si="1"/>
        <v>0.55000000000000004</v>
      </c>
      <c r="E42" s="99">
        <f t="shared" si="2"/>
        <v>-0.14810000000000001</v>
      </c>
      <c r="F42" s="99">
        <f t="shared" si="3"/>
        <v>0.19810000000000005</v>
      </c>
      <c r="G42" s="79"/>
      <c r="K42" s="206" t="s">
        <v>91</v>
      </c>
    </row>
    <row r="43" spans="2:21" x14ac:dyDescent="0.25">
      <c r="B43" s="98">
        <v>0.71699999999999997</v>
      </c>
      <c r="C43" s="99">
        <v>12</v>
      </c>
      <c r="D43" s="99">
        <f t="shared" si="1"/>
        <v>0.6</v>
      </c>
      <c r="E43" s="99">
        <f t="shared" si="2"/>
        <v>-0.11699999999999999</v>
      </c>
      <c r="F43" s="99">
        <f t="shared" si="3"/>
        <v>0.16699999999999993</v>
      </c>
      <c r="G43" s="79"/>
      <c r="J43" s="80"/>
      <c r="K43" s="206" t="s">
        <v>92</v>
      </c>
    </row>
    <row r="44" spans="2:21" x14ac:dyDescent="0.25">
      <c r="B44" s="98">
        <v>0.75470000000000004</v>
      </c>
      <c r="C44" s="99">
        <v>13</v>
      </c>
      <c r="D44" s="99">
        <f t="shared" si="1"/>
        <v>0.65</v>
      </c>
      <c r="E44" s="99">
        <f t="shared" si="2"/>
        <v>-0.10470000000000002</v>
      </c>
      <c r="F44" s="99">
        <f t="shared" si="3"/>
        <v>0.15470000000000006</v>
      </c>
      <c r="G44" s="79"/>
      <c r="I44" s="207" t="s">
        <v>93</v>
      </c>
      <c r="J44" s="207" t="s">
        <v>94</v>
      </c>
    </row>
    <row r="45" spans="2:21" x14ac:dyDescent="0.25">
      <c r="B45" s="98">
        <v>0.77359999999999995</v>
      </c>
      <c r="C45" s="99">
        <v>14</v>
      </c>
      <c r="D45" s="99">
        <f t="shared" si="1"/>
        <v>0.7</v>
      </c>
      <c r="E45" s="99">
        <f t="shared" si="2"/>
        <v>-7.3599999999999999E-2</v>
      </c>
      <c r="F45" s="99">
        <f t="shared" si="3"/>
        <v>0.12359999999999993</v>
      </c>
      <c r="G45" s="79"/>
      <c r="I45" s="207">
        <v>3.7699999999999997E-2</v>
      </c>
      <c r="J45" s="207">
        <v>7.5499999999999998E-2</v>
      </c>
    </row>
    <row r="46" spans="2:21" x14ac:dyDescent="0.25">
      <c r="B46" s="98">
        <v>0.79249999999999998</v>
      </c>
      <c r="C46" s="99">
        <v>15</v>
      </c>
      <c r="D46" s="99">
        <f t="shared" si="1"/>
        <v>0.75</v>
      </c>
      <c r="E46" s="99">
        <f t="shared" si="2"/>
        <v>-4.2499999999999982E-2</v>
      </c>
      <c r="F46" s="99">
        <f t="shared" si="3"/>
        <v>9.2500000000000027E-2</v>
      </c>
      <c r="G46" s="79"/>
      <c r="I46" s="207">
        <v>7.5499999999999998E-2</v>
      </c>
      <c r="J46" s="207">
        <v>0.16980000000000001</v>
      </c>
    </row>
    <row r="47" spans="2:21" x14ac:dyDescent="0.25">
      <c r="B47" s="98">
        <v>0.84909999999999997</v>
      </c>
      <c r="C47" s="99">
        <v>16</v>
      </c>
      <c r="D47" s="99">
        <f t="shared" si="1"/>
        <v>0.8</v>
      </c>
      <c r="E47" s="99">
        <f t="shared" si="2"/>
        <v>-4.9099999999999921E-2</v>
      </c>
      <c r="F47" s="99">
        <f t="shared" si="3"/>
        <v>9.9099999999999966E-2</v>
      </c>
      <c r="I47" s="207">
        <v>0.16980000000000001</v>
      </c>
      <c r="J47" s="207">
        <v>0.18870000000000001</v>
      </c>
    </row>
    <row r="48" spans="2:21" x14ac:dyDescent="0.25">
      <c r="B48" s="98">
        <v>0.90569999999999995</v>
      </c>
      <c r="C48" s="99">
        <v>17</v>
      </c>
      <c r="D48" s="99">
        <f t="shared" si="1"/>
        <v>0.85</v>
      </c>
      <c r="E48" s="99">
        <f t="shared" si="2"/>
        <v>-5.5699999999999972E-2</v>
      </c>
      <c r="F48" s="99">
        <f t="shared" si="3"/>
        <v>0.10569999999999991</v>
      </c>
      <c r="I48" s="207">
        <v>0.18870000000000001</v>
      </c>
      <c r="J48" s="207">
        <v>0.32079999999999997</v>
      </c>
    </row>
    <row r="49" spans="1:12" x14ac:dyDescent="0.25">
      <c r="B49" s="98">
        <v>0.94340000000000002</v>
      </c>
      <c r="C49" s="99">
        <v>18</v>
      </c>
      <c r="D49" s="99">
        <f t="shared" si="1"/>
        <v>0.9</v>
      </c>
      <c r="E49" s="99">
        <f t="shared" si="2"/>
        <v>-4.3399999999999994E-2</v>
      </c>
      <c r="F49" s="99">
        <f t="shared" si="3"/>
        <v>9.3400000000000039E-2</v>
      </c>
      <c r="I49" s="207">
        <v>0.32079999999999997</v>
      </c>
      <c r="J49" s="207">
        <v>0.37740000000000001</v>
      </c>
    </row>
    <row r="50" spans="1:12" x14ac:dyDescent="0.25">
      <c r="B50" s="98">
        <v>0.96230000000000004</v>
      </c>
      <c r="C50" s="99">
        <v>19</v>
      </c>
      <c r="D50" s="99">
        <f t="shared" si="1"/>
        <v>0.95</v>
      </c>
      <c r="E50" s="99">
        <f t="shared" si="2"/>
        <v>-1.2300000000000089E-2</v>
      </c>
      <c r="F50" s="99">
        <f t="shared" si="3"/>
        <v>6.2300000000000022E-2</v>
      </c>
      <c r="I50" s="207">
        <v>0.37740000000000001</v>
      </c>
      <c r="J50" s="207">
        <v>0.45279999999999998</v>
      </c>
    </row>
    <row r="51" spans="1:12" x14ac:dyDescent="0.25">
      <c r="B51" s="98">
        <v>0.98109999999999997</v>
      </c>
      <c r="C51" s="99">
        <v>20</v>
      </c>
      <c r="D51" s="99">
        <f t="shared" si="1"/>
        <v>1</v>
      </c>
      <c r="E51" s="99">
        <f t="shared" si="2"/>
        <v>1.8900000000000028E-2</v>
      </c>
      <c r="F51" s="99">
        <f t="shared" si="3"/>
        <v>3.1100000000000017E-2</v>
      </c>
      <c r="I51" s="207">
        <v>0.45279999999999998</v>
      </c>
      <c r="J51" s="207">
        <v>0.6038</v>
      </c>
    </row>
    <row r="52" spans="1:12" x14ac:dyDescent="0.25">
      <c r="D52" s="106" t="s">
        <v>28</v>
      </c>
      <c r="E52" s="183">
        <f>MAX(E32:E51)</f>
        <v>2.4500000000000008E-2</v>
      </c>
      <c r="F52" s="183"/>
      <c r="I52" s="207">
        <v>0.6038</v>
      </c>
      <c r="J52" s="207">
        <v>0.62260000000000004</v>
      </c>
    </row>
    <row r="53" spans="1:12" x14ac:dyDescent="0.25">
      <c r="D53" s="106" t="s">
        <v>27</v>
      </c>
      <c r="E53" s="183">
        <f>MAX(F32:F51)</f>
        <v>0.25380000000000003</v>
      </c>
      <c r="F53" s="183"/>
      <c r="I53" s="207">
        <v>0.62260000000000004</v>
      </c>
      <c r="J53" s="207">
        <v>0.67920000000000003</v>
      </c>
    </row>
    <row r="54" spans="1:12" x14ac:dyDescent="0.25">
      <c r="D54" s="106" t="s">
        <v>29</v>
      </c>
      <c r="E54" s="183">
        <f>MAX(E52:F53)</f>
        <v>0.25380000000000003</v>
      </c>
      <c r="F54" s="183"/>
      <c r="I54" s="207">
        <v>0.67920000000000003</v>
      </c>
      <c r="J54" s="207">
        <v>0.69810000000000005</v>
      </c>
    </row>
    <row r="55" spans="1:12" x14ac:dyDescent="0.25">
      <c r="I55" s="207">
        <v>0.69810000000000005</v>
      </c>
      <c r="J55" s="207">
        <v>0.71699999999999997</v>
      </c>
    </row>
    <row r="56" spans="1:12" x14ac:dyDescent="0.25">
      <c r="A56" s="80" t="s">
        <v>30</v>
      </c>
      <c r="C56" s="79">
        <v>0.29399999999999998</v>
      </c>
      <c r="I56" s="207">
        <v>0.71699999999999997</v>
      </c>
      <c r="J56" s="207">
        <v>0.75470000000000004</v>
      </c>
    </row>
    <row r="57" spans="1:12" x14ac:dyDescent="0.25">
      <c r="A57" s="79" t="str">
        <f>IF(C56&gt;E54,"Se Acepta Ho, hay uniformidad","Se rechaza Ho, no son uniformes")</f>
        <v>Se Acepta Ho, hay uniformidad</v>
      </c>
      <c r="I57" s="207">
        <v>0.75470000000000004</v>
      </c>
      <c r="J57" s="207">
        <v>0.77359999999999995</v>
      </c>
    </row>
    <row r="58" spans="1:12" x14ac:dyDescent="0.25">
      <c r="I58" s="207">
        <v>0.77359999999999995</v>
      </c>
      <c r="J58" s="207">
        <v>0.79249999999999998</v>
      </c>
    </row>
    <row r="59" spans="1:12" x14ac:dyDescent="0.25">
      <c r="B59" s="179" t="s">
        <v>33</v>
      </c>
      <c r="C59" s="180"/>
      <c r="D59" s="180"/>
      <c r="E59" s="181"/>
      <c r="I59" s="207">
        <v>0.79249999999999998</v>
      </c>
      <c r="J59" s="207">
        <v>0.84909999999999997</v>
      </c>
    </row>
    <row r="60" spans="1:12" x14ac:dyDescent="0.25">
      <c r="B60" s="84" t="s">
        <v>36</v>
      </c>
      <c r="C60" s="85"/>
      <c r="D60" s="85"/>
      <c r="E60" s="86"/>
      <c r="I60" s="207">
        <v>0.84909999999999997</v>
      </c>
      <c r="J60" s="207">
        <v>0.90569999999999995</v>
      </c>
    </row>
    <row r="61" spans="1:12" x14ac:dyDescent="0.25">
      <c r="B61" s="87" t="s">
        <v>37</v>
      </c>
      <c r="C61" s="88"/>
      <c r="D61" s="88"/>
      <c r="E61" s="89"/>
      <c r="H61" s="107"/>
      <c r="I61" s="207">
        <v>0.90569999999999995</v>
      </c>
      <c r="J61" s="207">
        <v>0.94340000000000002</v>
      </c>
      <c r="K61" s="107"/>
      <c r="L61" s="107"/>
    </row>
    <row r="62" spans="1:12" x14ac:dyDescent="0.25">
      <c r="H62" s="107"/>
      <c r="I62" s="207">
        <v>0.94340000000000002</v>
      </c>
      <c r="J62" s="207">
        <v>0.96230000000000004</v>
      </c>
      <c r="K62" s="107"/>
      <c r="L62" s="107"/>
    </row>
    <row r="63" spans="1:12" ht="15.75" x14ac:dyDescent="0.25">
      <c r="B63" s="108">
        <v>0.90569999999999995</v>
      </c>
      <c r="C63" s="108">
        <v>0.94340000000000002</v>
      </c>
      <c r="D63" s="108">
        <v>0.77359999999999995</v>
      </c>
      <c r="E63" s="108">
        <v>3.7699999999999997E-2</v>
      </c>
      <c r="F63" s="108">
        <v>0.84909999999999997</v>
      </c>
      <c r="H63" s="109"/>
      <c r="I63" s="207">
        <v>0.96230000000000004</v>
      </c>
      <c r="J63" s="207">
        <v>0.98109999999999997</v>
      </c>
      <c r="K63" s="109"/>
      <c r="L63" s="109"/>
    </row>
    <row r="64" spans="1:12" ht="15.75" x14ac:dyDescent="0.25">
      <c r="B64" s="108">
        <v>0.69810000000000005</v>
      </c>
      <c r="C64" s="108">
        <v>0.37740000000000001</v>
      </c>
      <c r="D64" s="108">
        <v>0.32079999999999997</v>
      </c>
      <c r="E64" s="108">
        <v>7.5499999999999998E-2</v>
      </c>
      <c r="F64" s="108">
        <v>0.67920000000000003</v>
      </c>
      <c r="H64" s="109"/>
      <c r="I64" s="109"/>
      <c r="J64" s="109"/>
      <c r="K64" s="109"/>
      <c r="L64" s="109"/>
    </row>
    <row r="65" spans="2:12" ht="15.75" x14ac:dyDescent="0.25">
      <c r="B65" s="108">
        <v>0.96230000000000004</v>
      </c>
      <c r="C65" s="108">
        <v>0.18870000000000001</v>
      </c>
      <c r="D65" s="108">
        <v>0.16980000000000001</v>
      </c>
      <c r="E65" s="108">
        <v>0.75470000000000004</v>
      </c>
      <c r="F65" s="108">
        <v>0.62260000000000004</v>
      </c>
      <c r="H65" s="109"/>
      <c r="I65" s="109"/>
      <c r="J65" s="109"/>
      <c r="K65" s="109"/>
      <c r="L65" s="109"/>
    </row>
    <row r="66" spans="2:12" ht="15.75" x14ac:dyDescent="0.25">
      <c r="B66" s="108">
        <v>0.71699999999999997</v>
      </c>
      <c r="C66" s="108">
        <v>0.79249999999999998</v>
      </c>
      <c r="D66" s="108">
        <v>0.45279999999999998</v>
      </c>
      <c r="E66" s="108">
        <v>0.98109999999999997</v>
      </c>
      <c r="F66" s="108">
        <v>0.6038</v>
      </c>
      <c r="H66" s="109"/>
      <c r="I66" s="109"/>
      <c r="J66" s="109"/>
      <c r="K66" s="109"/>
      <c r="L66" s="109"/>
    </row>
    <row r="67" spans="2:12" x14ac:dyDescent="0.25">
      <c r="H67" s="107"/>
      <c r="I67" s="107"/>
      <c r="J67" s="107"/>
      <c r="K67" s="107"/>
      <c r="L67" s="107"/>
    </row>
    <row r="68" spans="2:12" x14ac:dyDescent="0.25">
      <c r="B68" s="90" t="s">
        <v>38</v>
      </c>
      <c r="G68" s="79"/>
      <c r="H68" s="107"/>
      <c r="I68" s="107"/>
      <c r="J68" s="107"/>
      <c r="K68" s="107"/>
      <c r="L68" s="107"/>
    </row>
    <row r="69" spans="2:12" ht="15.75" thickBot="1" x14ac:dyDescent="0.3">
      <c r="G69" s="79"/>
      <c r="H69" s="107"/>
      <c r="I69" s="107"/>
      <c r="J69" s="107"/>
      <c r="K69" s="107"/>
      <c r="L69" s="107"/>
    </row>
    <row r="70" spans="2:12" ht="21" thickBot="1" x14ac:dyDescent="0.3">
      <c r="B70" s="110" t="str">
        <f>IF(B63&gt;C63,"-","+")</f>
        <v>+</v>
      </c>
      <c r="C70" s="111" t="str">
        <f t="shared" ref="C70:E73" si="4">IF(C63&gt;D63,"-","+")</f>
        <v>-</v>
      </c>
      <c r="D70" s="111" t="str">
        <f t="shared" si="4"/>
        <v>-</v>
      </c>
      <c r="E70" s="110" t="str">
        <f t="shared" si="4"/>
        <v>+</v>
      </c>
      <c r="F70" s="111" t="str">
        <f>IF(F63&gt;B64,"-","+")</f>
        <v>-</v>
      </c>
      <c r="G70" s="79"/>
    </row>
    <row r="71" spans="2:12" ht="21.75" thickTop="1" thickBot="1" x14ac:dyDescent="0.3">
      <c r="B71" s="111" t="str">
        <f>IF(B64&gt;C64,"-","+")</f>
        <v>-</v>
      </c>
      <c r="C71" s="111" t="str">
        <f t="shared" si="4"/>
        <v>-</v>
      </c>
      <c r="D71" s="111" t="str">
        <f t="shared" si="4"/>
        <v>-</v>
      </c>
      <c r="E71" s="110" t="str">
        <f t="shared" si="4"/>
        <v>+</v>
      </c>
      <c r="F71" s="110" t="str">
        <f>IF(F64&gt;B65,"-","+")</f>
        <v>+</v>
      </c>
      <c r="G71" s="79"/>
    </row>
    <row r="72" spans="2:12" ht="21.75" thickTop="1" thickBot="1" x14ac:dyDescent="0.3">
      <c r="B72" s="111" t="str">
        <f>IF(B65&gt;C65,"-","+")</f>
        <v>-</v>
      </c>
      <c r="C72" s="111" t="str">
        <f t="shared" si="4"/>
        <v>-</v>
      </c>
      <c r="D72" s="110" t="str">
        <f t="shared" si="4"/>
        <v>+</v>
      </c>
      <c r="E72" s="111" t="str">
        <f>IF(E65&gt;F65,"-","+")</f>
        <v>-</v>
      </c>
      <c r="F72" s="110" t="str">
        <f>IF(F65&gt;B66,"-","+")</f>
        <v>+</v>
      </c>
      <c r="G72" s="79"/>
    </row>
    <row r="73" spans="2:12" ht="21.75" thickTop="1" thickBot="1" x14ac:dyDescent="0.3">
      <c r="B73" s="110" t="str">
        <f>IF(B66&gt;C66,"-","+")</f>
        <v>+</v>
      </c>
      <c r="C73" s="111" t="str">
        <f t="shared" si="4"/>
        <v>-</v>
      </c>
      <c r="D73" s="110" t="str">
        <f t="shared" si="4"/>
        <v>+</v>
      </c>
      <c r="E73" s="111" t="str">
        <f>IF(E66&gt;F66,"-","+")</f>
        <v>-</v>
      </c>
      <c r="F73" s="111"/>
      <c r="G73" s="79"/>
    </row>
    <row r="74" spans="2:12" ht="15.75" thickTop="1" x14ac:dyDescent="0.25">
      <c r="G74" s="79"/>
    </row>
    <row r="75" spans="2:12" ht="15.75" thickBot="1" x14ac:dyDescent="0.3">
      <c r="B75" s="79" t="s">
        <v>59</v>
      </c>
      <c r="G75" s="79"/>
    </row>
    <row r="76" spans="2:12" x14ac:dyDescent="0.25">
      <c r="B76" s="166" t="s">
        <v>39</v>
      </c>
      <c r="C76" s="106" t="s">
        <v>40</v>
      </c>
      <c r="D76" s="112">
        <v>6</v>
      </c>
      <c r="F76" s="113"/>
      <c r="G76" s="114" t="s">
        <v>46</v>
      </c>
      <c r="H76" s="115">
        <f>(2*D79-1)/3</f>
        <v>13</v>
      </c>
    </row>
    <row r="77" spans="2:12" x14ac:dyDescent="0.25">
      <c r="B77" s="166"/>
      <c r="C77" s="116" t="s">
        <v>41</v>
      </c>
      <c r="D77" s="112">
        <v>6</v>
      </c>
      <c r="F77" s="113"/>
      <c r="G77" s="117"/>
      <c r="H77" s="118"/>
    </row>
    <row r="78" spans="2:12" ht="15.75" thickBot="1" x14ac:dyDescent="0.3">
      <c r="B78" s="119" t="s">
        <v>42</v>
      </c>
      <c r="C78" s="116" t="s">
        <v>43</v>
      </c>
      <c r="D78" s="112">
        <f>D77+D76</f>
        <v>12</v>
      </c>
      <c r="F78" s="113"/>
      <c r="G78" s="120" t="s">
        <v>47</v>
      </c>
      <c r="H78" s="121">
        <f>(16*D79-29)/90</f>
        <v>3.2333333333333334</v>
      </c>
    </row>
    <row r="79" spans="2:12" x14ac:dyDescent="0.25">
      <c r="B79" s="116" t="s">
        <v>44</v>
      </c>
      <c r="C79" s="116" t="s">
        <v>45</v>
      </c>
      <c r="D79" s="112">
        <v>20</v>
      </c>
      <c r="F79" s="113"/>
      <c r="G79" s="113"/>
      <c r="H79" s="113"/>
    </row>
    <row r="80" spans="2:12" x14ac:dyDescent="0.25">
      <c r="E80" s="107"/>
      <c r="F80" s="107"/>
      <c r="G80" s="107"/>
      <c r="H80" s="107"/>
      <c r="I80" s="107"/>
      <c r="J80" s="107"/>
      <c r="K80" s="122"/>
      <c r="L80" s="122"/>
    </row>
    <row r="81" spans="1:12" x14ac:dyDescent="0.25">
      <c r="A81" s="113"/>
      <c r="B81" s="113"/>
      <c r="C81" s="113"/>
      <c r="D81" s="113"/>
      <c r="E81" s="113"/>
      <c r="F81" s="122"/>
      <c r="G81" s="122"/>
      <c r="H81" s="122"/>
      <c r="I81" s="122"/>
      <c r="J81" s="122"/>
      <c r="K81" s="122"/>
      <c r="L81" s="122"/>
    </row>
    <row r="82" spans="1:12" x14ac:dyDescent="0.25">
      <c r="A82" s="113"/>
      <c r="B82" s="113"/>
      <c r="C82" s="113"/>
      <c r="D82" s="113"/>
      <c r="E82" s="113"/>
      <c r="F82" s="122"/>
      <c r="G82" s="122"/>
      <c r="H82" s="122"/>
      <c r="I82" s="122"/>
      <c r="J82" s="122"/>
      <c r="K82" s="122"/>
      <c r="L82" s="122"/>
    </row>
    <row r="83" spans="1:12" x14ac:dyDescent="0.25">
      <c r="A83" s="123" t="s">
        <v>48</v>
      </c>
      <c r="B83" s="113"/>
      <c r="C83" s="113"/>
      <c r="D83" s="124" t="s">
        <v>49</v>
      </c>
      <c r="E83" s="125">
        <f>(D78-H76)/(H78)</f>
        <v>-0.30927835051546393</v>
      </c>
      <c r="F83" s="122"/>
      <c r="G83" s="122"/>
      <c r="H83" s="122"/>
      <c r="I83" s="122"/>
      <c r="J83" s="122"/>
      <c r="K83" s="122"/>
      <c r="L83" s="122"/>
    </row>
    <row r="84" spans="1:12" x14ac:dyDescent="0.25">
      <c r="A84" s="113"/>
      <c r="B84" s="113"/>
      <c r="C84" s="113"/>
      <c r="D84" s="113"/>
      <c r="E84" s="113"/>
      <c r="F84" s="122"/>
      <c r="G84" s="122"/>
      <c r="H84" s="122"/>
      <c r="I84" s="122"/>
      <c r="J84" s="122"/>
      <c r="K84" s="122"/>
      <c r="L84" s="122"/>
    </row>
    <row r="85" spans="1:12" x14ac:dyDescent="0.25">
      <c r="A85" s="113"/>
      <c r="B85" s="113"/>
      <c r="C85" s="113"/>
      <c r="D85" s="113"/>
      <c r="E85" s="113"/>
      <c r="F85" s="122"/>
      <c r="G85" s="122"/>
      <c r="H85" s="122"/>
      <c r="I85" s="122"/>
      <c r="J85" s="122"/>
      <c r="K85" s="122"/>
      <c r="L85" s="122"/>
    </row>
    <row r="86" spans="1:12" x14ac:dyDescent="0.25">
      <c r="A86" s="123" t="s">
        <v>50</v>
      </c>
      <c r="B86" s="113"/>
      <c r="C86" s="113"/>
      <c r="D86" s="113"/>
      <c r="E86" s="167" t="s">
        <v>51</v>
      </c>
      <c r="F86" s="167"/>
      <c r="G86" s="167"/>
      <c r="H86" s="167"/>
      <c r="I86" s="167"/>
      <c r="J86" s="167"/>
      <c r="K86" s="167"/>
      <c r="L86" s="167"/>
    </row>
    <row r="87" spans="1:12" x14ac:dyDescent="0.25">
      <c r="A87" s="113"/>
      <c r="B87" s="113"/>
      <c r="C87" s="113"/>
      <c r="D87" s="113"/>
      <c r="E87" s="167"/>
      <c r="F87" s="167"/>
      <c r="G87" s="167"/>
      <c r="H87" s="167"/>
      <c r="I87" s="167"/>
      <c r="J87" s="167"/>
      <c r="K87" s="167"/>
      <c r="L87" s="167"/>
    </row>
    <row r="88" spans="1:12" x14ac:dyDescent="0.25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</row>
    <row r="89" spans="1:12" x14ac:dyDescent="0.25">
      <c r="A89" s="122"/>
      <c r="B89" s="126" t="s">
        <v>52</v>
      </c>
      <c r="C89" s="122"/>
      <c r="D89" s="122"/>
      <c r="E89" s="122"/>
      <c r="F89" s="122"/>
      <c r="G89" s="122"/>
      <c r="H89" s="122"/>
      <c r="I89" s="122"/>
      <c r="J89" s="122"/>
      <c r="K89" s="122"/>
      <c r="L89" s="122"/>
    </row>
    <row r="90" spans="1:12" ht="15.75" thickBot="1" x14ac:dyDescent="0.3"/>
    <row r="91" spans="1:12" ht="21" thickBot="1" x14ac:dyDescent="0.3">
      <c r="B91" s="110" t="str">
        <f>IF(B63&lt;0.5,"-","+")</f>
        <v>+</v>
      </c>
      <c r="C91" s="110" t="str">
        <f t="shared" ref="C91:E91" si="5">IF(C63&lt;0.5,"-","+")</f>
        <v>+</v>
      </c>
      <c r="D91" s="110" t="str">
        <f t="shared" si="5"/>
        <v>+</v>
      </c>
      <c r="E91" s="111" t="str">
        <f t="shared" si="5"/>
        <v>-</v>
      </c>
      <c r="F91" s="110" t="str">
        <f>IF(F63&lt;0.5,"-","+")</f>
        <v>+</v>
      </c>
      <c r="G91" s="127"/>
      <c r="H91" s="127"/>
      <c r="I91" s="127"/>
      <c r="J91" s="127"/>
      <c r="K91" s="127"/>
    </row>
    <row r="92" spans="1:12" ht="21.75" thickTop="1" thickBot="1" x14ac:dyDescent="0.3">
      <c r="B92" s="110" t="str">
        <f t="shared" ref="B92:F94" si="6">IF(B64&lt;0.5,"-","+")</f>
        <v>+</v>
      </c>
      <c r="C92" s="111" t="str">
        <f t="shared" si="6"/>
        <v>-</v>
      </c>
      <c r="D92" s="111" t="str">
        <f t="shared" si="6"/>
        <v>-</v>
      </c>
      <c r="E92" s="111" t="str">
        <f>IF(E64&lt;0.5,"-","+")</f>
        <v>-</v>
      </c>
      <c r="F92" s="110" t="str">
        <f t="shared" si="6"/>
        <v>+</v>
      </c>
      <c r="G92" s="127"/>
      <c r="H92" s="127"/>
      <c r="I92" s="127"/>
      <c r="J92" s="127"/>
      <c r="K92" s="127"/>
    </row>
    <row r="93" spans="1:12" ht="21.75" thickTop="1" thickBot="1" x14ac:dyDescent="0.3">
      <c r="B93" s="110" t="str">
        <f t="shared" si="6"/>
        <v>+</v>
      </c>
      <c r="C93" s="111" t="str">
        <f t="shared" si="6"/>
        <v>-</v>
      </c>
      <c r="D93" s="111" t="str">
        <f t="shared" si="6"/>
        <v>-</v>
      </c>
      <c r="E93" s="110" t="str">
        <f t="shared" si="6"/>
        <v>+</v>
      </c>
      <c r="F93" s="110" t="str">
        <f t="shared" si="6"/>
        <v>+</v>
      </c>
      <c r="G93" s="127"/>
      <c r="H93" s="127"/>
      <c r="I93" s="127"/>
      <c r="J93" s="127"/>
      <c r="K93" s="127"/>
      <c r="L93" s="122"/>
    </row>
    <row r="94" spans="1:12" ht="21.75" thickTop="1" thickBot="1" x14ac:dyDescent="0.3">
      <c r="A94" s="122"/>
      <c r="B94" s="110" t="str">
        <f t="shared" si="6"/>
        <v>+</v>
      </c>
      <c r="C94" s="110" t="str">
        <f t="shared" si="6"/>
        <v>+</v>
      </c>
      <c r="D94" s="111" t="str">
        <f t="shared" si="6"/>
        <v>-</v>
      </c>
      <c r="E94" s="110" t="str">
        <f t="shared" si="6"/>
        <v>+</v>
      </c>
      <c r="F94" s="110" t="str">
        <f>IF(F66&lt;0.5,"-","+")</f>
        <v>+</v>
      </c>
      <c r="G94" s="122"/>
      <c r="H94" s="122"/>
      <c r="I94" s="122"/>
      <c r="J94" s="122"/>
      <c r="K94" s="122"/>
      <c r="L94" s="122"/>
    </row>
    <row r="95" spans="1:12" ht="15.75" thickTop="1" x14ac:dyDescent="0.25">
      <c r="A95" s="122"/>
      <c r="B95" s="122" t="s">
        <v>59</v>
      </c>
      <c r="C95" s="122"/>
      <c r="D95" s="122"/>
      <c r="E95" s="122"/>
      <c r="F95" s="122"/>
      <c r="G95" s="122"/>
      <c r="H95" s="122"/>
      <c r="I95" s="122"/>
      <c r="J95" s="122"/>
      <c r="K95" s="122"/>
    </row>
    <row r="96" spans="1:12" ht="15.75" thickBot="1" x14ac:dyDescent="0.3">
      <c r="A96" s="122" t="s">
        <v>53</v>
      </c>
      <c r="B96" s="122"/>
      <c r="C96" s="122"/>
      <c r="D96" s="122"/>
      <c r="E96" s="122"/>
      <c r="F96" s="122"/>
      <c r="G96" s="122"/>
      <c r="H96" s="122"/>
      <c r="I96" s="122"/>
      <c r="J96" s="122"/>
      <c r="K96" s="122"/>
    </row>
    <row r="97" spans="1:13" x14ac:dyDescent="0.25">
      <c r="A97" s="106" t="s">
        <v>54</v>
      </c>
      <c r="B97" s="96">
        <f>COUNTIF($B$91:$F$94,"+")</f>
        <v>13</v>
      </c>
      <c r="C97" s="113"/>
      <c r="D97" s="113"/>
      <c r="E97" s="113"/>
      <c r="F97" s="113"/>
      <c r="G97" s="128" t="s">
        <v>55</v>
      </c>
      <c r="H97" s="129">
        <f>((2*B97*B98)/(B99))+0.5</f>
        <v>9.6</v>
      </c>
      <c r="I97" s="122"/>
      <c r="J97" s="122"/>
      <c r="K97" s="122"/>
    </row>
    <row r="98" spans="1:13" x14ac:dyDescent="0.25">
      <c r="A98" s="106" t="s">
        <v>56</v>
      </c>
      <c r="B98" s="96">
        <f>COUNTIF($B$91:$F$94,"-")</f>
        <v>7</v>
      </c>
      <c r="C98" s="113"/>
      <c r="D98" s="113"/>
      <c r="E98" s="113"/>
      <c r="F98" s="113"/>
      <c r="G98" s="168"/>
      <c r="H98" s="169"/>
      <c r="I98" s="122"/>
      <c r="J98" s="122"/>
      <c r="K98" s="122"/>
    </row>
    <row r="99" spans="1:13" ht="15.75" thickBot="1" x14ac:dyDescent="0.3">
      <c r="A99" s="116" t="s">
        <v>57</v>
      </c>
      <c r="B99" s="112">
        <f>B98+B97</f>
        <v>20</v>
      </c>
      <c r="C99" s="113"/>
      <c r="D99" s="113"/>
      <c r="E99" s="113"/>
      <c r="F99" s="113"/>
      <c r="G99" s="130" t="s">
        <v>58</v>
      </c>
      <c r="H99" s="131">
        <f>(2*B97*B98*(2*B97*B98-B99))/(((B99)^2)*(B99-1))</f>
        <v>3.8794736842105264</v>
      </c>
      <c r="I99" s="122"/>
      <c r="J99" s="122"/>
      <c r="K99" s="122"/>
    </row>
    <row r="100" spans="1:13" x14ac:dyDescent="0.25">
      <c r="A100" s="113"/>
      <c r="B100" s="113"/>
      <c r="C100" s="113"/>
      <c r="D100" s="113"/>
      <c r="E100" s="113"/>
      <c r="F100" s="122"/>
      <c r="G100" s="122"/>
      <c r="H100" s="122"/>
      <c r="I100" s="122"/>
      <c r="J100" s="122"/>
      <c r="K100" s="122"/>
    </row>
    <row r="101" spans="1:13" x14ac:dyDescent="0.25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</row>
    <row r="102" spans="1:13" x14ac:dyDescent="0.25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</row>
    <row r="103" spans="1:13" x14ac:dyDescent="0.25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</row>
    <row r="104" spans="1:13" x14ac:dyDescent="0.25">
      <c r="A104" s="123" t="s">
        <v>48</v>
      </c>
      <c r="B104" s="113"/>
      <c r="C104" s="113"/>
      <c r="D104" s="124" t="s">
        <v>49</v>
      </c>
      <c r="E104" s="132">
        <f>(B99-H97)/(H99)</f>
        <v>2.6807760141093473</v>
      </c>
      <c r="F104" s="122"/>
      <c r="G104" s="122"/>
      <c r="H104" s="122"/>
      <c r="I104" s="122"/>
      <c r="J104" s="122"/>
      <c r="K104" s="122"/>
      <c r="L104" s="122"/>
    </row>
    <row r="105" spans="1:13" x14ac:dyDescent="0.25">
      <c r="A105" s="113"/>
      <c r="B105" s="113"/>
      <c r="C105" s="113"/>
      <c r="D105" s="113"/>
      <c r="E105" s="113"/>
      <c r="F105" s="122"/>
      <c r="G105" s="122"/>
      <c r="H105" s="122"/>
      <c r="I105" s="122"/>
      <c r="J105" s="122"/>
      <c r="K105" s="122"/>
      <c r="L105" s="122"/>
    </row>
    <row r="106" spans="1:13" x14ac:dyDescent="0.25">
      <c r="A106" s="113"/>
      <c r="B106" s="113"/>
      <c r="C106" s="113"/>
      <c r="D106" s="113"/>
      <c r="E106" s="113"/>
      <c r="F106" s="122"/>
      <c r="G106" s="122"/>
      <c r="H106" s="122"/>
      <c r="I106" s="122"/>
      <c r="J106" s="122"/>
      <c r="K106" s="122"/>
      <c r="L106" s="122"/>
    </row>
    <row r="107" spans="1:13" x14ac:dyDescent="0.25">
      <c r="A107" s="123" t="s">
        <v>50</v>
      </c>
      <c r="B107" s="113"/>
      <c r="C107" s="113"/>
      <c r="D107" s="113"/>
      <c r="E107" s="170" t="s">
        <v>75</v>
      </c>
      <c r="F107" s="170"/>
      <c r="G107" s="170"/>
      <c r="H107" s="170"/>
      <c r="I107" s="170"/>
      <c r="J107" s="170"/>
      <c r="K107" s="170"/>
      <c r="L107" s="170"/>
    </row>
    <row r="108" spans="1:13" x14ac:dyDescent="0.25">
      <c r="A108" s="113"/>
      <c r="B108" s="113"/>
      <c r="C108" s="113"/>
      <c r="D108" s="113"/>
      <c r="E108" s="170"/>
      <c r="F108" s="170"/>
      <c r="G108" s="170"/>
      <c r="H108" s="170"/>
      <c r="I108" s="170"/>
      <c r="J108" s="170"/>
      <c r="K108" s="170"/>
      <c r="L108" s="170"/>
    </row>
    <row r="109" spans="1:13" ht="15.75" thickBot="1" x14ac:dyDescent="0.3">
      <c r="G109" s="79"/>
    </row>
    <row r="110" spans="1:13" x14ac:dyDescent="0.25">
      <c r="H110" s="133" t="s">
        <v>79</v>
      </c>
      <c r="I110" s="134">
        <v>6</v>
      </c>
    </row>
    <row r="111" spans="1:13" ht="15.75" thickBot="1" x14ac:dyDescent="0.3">
      <c r="B111" s="113"/>
      <c r="C111" s="113"/>
      <c r="D111" s="113"/>
      <c r="E111" s="113"/>
      <c r="F111" s="113"/>
      <c r="G111" s="123"/>
      <c r="H111" s="135" t="s">
        <v>78</v>
      </c>
      <c r="I111" s="136">
        <f>1/6</f>
        <v>0.16666666666666666</v>
      </c>
      <c r="K111" s="79">
        <f ca="1">COUNT(H116:H150)</f>
        <v>19</v>
      </c>
      <c r="L111" s="79" t="s">
        <v>73</v>
      </c>
    </row>
    <row r="112" spans="1:13" x14ac:dyDescent="0.25">
      <c r="A112" s="78" t="s">
        <v>60</v>
      </c>
      <c r="B112" s="113"/>
      <c r="C112" s="113"/>
      <c r="D112" s="113"/>
      <c r="E112" s="113"/>
      <c r="F112" s="113"/>
      <c r="G112" s="123"/>
      <c r="H112" s="137"/>
      <c r="I112" s="137"/>
    </row>
    <row r="113" spans="1:14" x14ac:dyDescent="0.25">
      <c r="A113" s="79" t="s">
        <v>68</v>
      </c>
      <c r="B113" s="113"/>
      <c r="C113" s="113"/>
      <c r="D113" s="113"/>
      <c r="E113" s="113"/>
      <c r="F113" s="113"/>
      <c r="G113" s="123"/>
      <c r="H113" s="137"/>
      <c r="I113" s="137"/>
    </row>
    <row r="114" spans="1:14" ht="15.75" thickBot="1" x14ac:dyDescent="0.3">
      <c r="A114" s="79" t="s">
        <v>72</v>
      </c>
      <c r="B114" s="113"/>
      <c r="C114" s="113"/>
      <c r="D114" s="113"/>
      <c r="E114" s="113"/>
      <c r="F114" s="113"/>
      <c r="G114" s="123"/>
    </row>
    <row r="115" spans="1:14" ht="15.75" thickBot="1" x14ac:dyDescent="0.3">
      <c r="B115" s="138" t="s">
        <v>61</v>
      </c>
      <c r="C115" s="139" t="s">
        <v>80</v>
      </c>
      <c r="D115" s="139" t="s">
        <v>62</v>
      </c>
      <c r="E115" s="139" t="s">
        <v>81</v>
      </c>
      <c r="F115" s="139" t="s">
        <v>65</v>
      </c>
      <c r="G115" s="139" t="s">
        <v>66</v>
      </c>
      <c r="H115" s="140" t="s">
        <v>67</v>
      </c>
      <c r="I115" s="141" t="s">
        <v>70</v>
      </c>
      <c r="J115" s="142" t="s">
        <v>71</v>
      </c>
      <c r="K115" s="128" t="s">
        <v>69</v>
      </c>
      <c r="L115" s="143"/>
      <c r="M115" s="92" t="s">
        <v>1</v>
      </c>
      <c r="N115" s="144" t="s">
        <v>74</v>
      </c>
    </row>
    <row r="116" spans="1:14" x14ac:dyDescent="0.25">
      <c r="B116" s="145">
        <v>1</v>
      </c>
      <c r="C116" s="146">
        <f ca="1">RAND()</f>
        <v>0.13276565717897271</v>
      </c>
      <c r="D116" s="146">
        <f ca="1">(-1/$I$111)*LN(1-C116)</f>
        <v>0.85467628271625329</v>
      </c>
      <c r="E116" s="146">
        <f ca="1">RAND()</f>
        <v>0.51409253981906566</v>
      </c>
      <c r="F116" s="146">
        <f ca="1">(-1/$I$111)*LN(1-E116)</f>
        <v>4.3304225061749326</v>
      </c>
      <c r="G116" s="147">
        <f ca="1">MIN(D116,F116)</f>
        <v>0.85467628271625329</v>
      </c>
      <c r="H116" s="148">
        <f ca="1">G116</f>
        <v>0.85467628271625329</v>
      </c>
      <c r="I116" s="171">
        <f ca="1">AVERAGE(G116:G150)</f>
        <v>4.0766668447131105</v>
      </c>
      <c r="J116" s="149">
        <f ca="1">($I$116-H116)^2</f>
        <v>10.381223181596821</v>
      </c>
      <c r="K116" s="174">
        <f ca="1">SQRT(SUM(J116:J150)/((COUNT(J116:J150)-1)))</f>
        <v>40.754699016096879</v>
      </c>
      <c r="L116" s="177">
        <f ca="1">_xlfn.IFS(K111&lt;=14,1.8,K111&gt;=15,1.7 )</f>
        <v>1.7</v>
      </c>
      <c r="M116" s="162">
        <f ca="1">I116-L116*K116/SQRT(K111)</f>
        <v>-11.817940767154823</v>
      </c>
      <c r="N116" s="164">
        <f ca="1">I116+(K116*L116/SQRT(K111))</f>
        <v>19.971274456581043</v>
      </c>
    </row>
    <row r="117" spans="1:14" x14ac:dyDescent="0.25">
      <c r="B117" s="150">
        <v>2</v>
      </c>
      <c r="C117" s="151">
        <f t="shared" ref="C117:C134" ca="1" si="7">RAND()</f>
        <v>0.99297355475096594</v>
      </c>
      <c r="D117" s="151">
        <f t="shared" ref="D117:D134" ca="1" si="8">(-1/$I$111)*LN(1-C117)</f>
        <v>29.748446133131111</v>
      </c>
      <c r="E117" s="151">
        <f t="shared" ref="E117:E134" ca="1" si="9">RAND()</f>
        <v>0.90314989233177212</v>
      </c>
      <c r="F117" s="151">
        <f t="shared" ref="F117:F134" ca="1" si="10">(-1/$I$111)*LN(1-E117)</f>
        <v>14.007544664573366</v>
      </c>
      <c r="G117" s="152">
        <f t="shared" ref="G117:G134" ca="1" si="11">MIN(D117,F117)</f>
        <v>14.007544664573366</v>
      </c>
      <c r="H117" s="153">
        <f ca="1">G117+H116</f>
        <v>14.86222094728962</v>
      </c>
      <c r="I117" s="172"/>
      <c r="J117" s="154">
        <f t="shared" ref="J117:J134" ca="1" si="12">($I$116-H117)^2</f>
        <v>116.32817729960496</v>
      </c>
      <c r="K117" s="175"/>
      <c r="L117" s="177"/>
      <c r="M117" s="162"/>
      <c r="N117" s="164"/>
    </row>
    <row r="118" spans="1:14" x14ac:dyDescent="0.25">
      <c r="B118" s="150">
        <v>3</v>
      </c>
      <c r="C118" s="151">
        <f t="shared" ca="1" si="7"/>
        <v>0.42697811221651583</v>
      </c>
      <c r="D118" s="151">
        <f t="shared" ca="1" si="8"/>
        <v>3.3409881865315709</v>
      </c>
      <c r="E118" s="151">
        <f t="shared" ca="1" si="9"/>
        <v>0.61685540017528473</v>
      </c>
      <c r="F118" s="151">
        <f t="shared" ca="1" si="10"/>
        <v>5.756056894917096</v>
      </c>
      <c r="G118" s="152">
        <f t="shared" ca="1" si="11"/>
        <v>3.3409881865315709</v>
      </c>
      <c r="H118" s="153">
        <f ca="1">G118+H117</f>
        <v>18.20320913382119</v>
      </c>
      <c r="I118" s="172"/>
      <c r="J118" s="154">
        <f t="shared" ca="1" si="12"/>
        <v>199.55919704595897</v>
      </c>
      <c r="K118" s="175"/>
      <c r="L118" s="177"/>
      <c r="M118" s="162"/>
      <c r="N118" s="164"/>
    </row>
    <row r="119" spans="1:14" x14ac:dyDescent="0.25">
      <c r="B119" s="150">
        <v>4</v>
      </c>
      <c r="C119" s="151">
        <f t="shared" ca="1" si="7"/>
        <v>0.91550078003542656</v>
      </c>
      <c r="D119" s="151">
        <f t="shared" ca="1" si="8"/>
        <v>14.82607785510058</v>
      </c>
      <c r="E119" s="151">
        <f t="shared" ca="1" si="9"/>
        <v>4.7700462706009583E-3</v>
      </c>
      <c r="F119" s="151">
        <f t="shared" ca="1" si="10"/>
        <v>2.8688755496406648E-2</v>
      </c>
      <c r="G119" s="152">
        <f t="shared" ca="1" si="11"/>
        <v>2.8688755496406648E-2</v>
      </c>
      <c r="H119" s="153">
        <f t="shared" ref="H119:H134" ca="1" si="13">G119+H118</f>
        <v>18.231897889317597</v>
      </c>
      <c r="I119" s="172"/>
      <c r="J119" s="154">
        <f t="shared" ca="1" si="12"/>
        <v>200.37056592613465</v>
      </c>
      <c r="K119" s="175"/>
      <c r="L119" s="177"/>
      <c r="M119" s="162"/>
      <c r="N119" s="164"/>
    </row>
    <row r="120" spans="1:14" x14ac:dyDescent="0.25">
      <c r="B120" s="150">
        <v>5</v>
      </c>
      <c r="C120" s="151">
        <f t="shared" ca="1" si="7"/>
        <v>0.98027309936842533</v>
      </c>
      <c r="D120" s="151">
        <f t="shared" ca="1" si="8"/>
        <v>23.554632362471089</v>
      </c>
      <c r="E120" s="151">
        <f t="shared" ca="1" si="9"/>
        <v>2.7815084494043019E-2</v>
      </c>
      <c r="F120" s="151">
        <f t="shared" ca="1" si="10"/>
        <v>0.16925550195233088</v>
      </c>
      <c r="G120" s="152">
        <f t="shared" ca="1" si="11"/>
        <v>0.16925550195233088</v>
      </c>
      <c r="H120" s="153">
        <f t="shared" ca="1" si="13"/>
        <v>18.401153391269929</v>
      </c>
      <c r="I120" s="172"/>
      <c r="J120" s="154">
        <f t="shared" ca="1" si="12"/>
        <v>205.19091482248731</v>
      </c>
      <c r="K120" s="175"/>
      <c r="L120" s="177"/>
      <c r="M120" s="162"/>
      <c r="N120" s="164"/>
    </row>
    <row r="121" spans="1:14" x14ac:dyDescent="0.25">
      <c r="B121" s="150">
        <v>6</v>
      </c>
      <c r="C121" s="151">
        <f t="shared" ca="1" si="7"/>
        <v>0.17294410430223828</v>
      </c>
      <c r="D121" s="151">
        <f t="shared" ca="1" si="8"/>
        <v>1.139297986394737</v>
      </c>
      <c r="E121" s="151">
        <f t="shared" ca="1" si="9"/>
        <v>0.92533082908040709</v>
      </c>
      <c r="F121" s="151">
        <f t="shared" ca="1" si="10"/>
        <v>15.568127863535636</v>
      </c>
      <c r="G121" s="152">
        <f t="shared" ca="1" si="11"/>
        <v>1.139297986394737</v>
      </c>
      <c r="H121" s="153">
        <f t="shared" ca="1" si="13"/>
        <v>19.540451377664667</v>
      </c>
      <c r="I121" s="172"/>
      <c r="J121" s="154">
        <f t="shared" ca="1" si="12"/>
        <v>239.12863208155181</v>
      </c>
      <c r="K121" s="175"/>
      <c r="L121" s="177"/>
      <c r="M121" s="162"/>
      <c r="N121" s="164"/>
    </row>
    <row r="122" spans="1:14" x14ac:dyDescent="0.25">
      <c r="B122" s="150">
        <v>7</v>
      </c>
      <c r="C122" s="151">
        <f t="shared" ca="1" si="7"/>
        <v>0.413930941397604</v>
      </c>
      <c r="D122" s="151">
        <f t="shared" ca="1" si="8"/>
        <v>3.2059058934253635</v>
      </c>
      <c r="E122" s="151">
        <f t="shared" ca="1" si="9"/>
        <v>0.1759380753588462</v>
      </c>
      <c r="F122" s="151">
        <f t="shared" ca="1" si="10"/>
        <v>1.1610576037970635</v>
      </c>
      <c r="G122" s="152">
        <f t="shared" ca="1" si="11"/>
        <v>1.1610576037970635</v>
      </c>
      <c r="H122" s="153">
        <f t="shared" ca="1" si="13"/>
        <v>20.701508981461728</v>
      </c>
      <c r="I122" s="172"/>
      <c r="J122" s="154">
        <f t="shared" ca="1" si="12"/>
        <v>276.3853760718124</v>
      </c>
      <c r="K122" s="175"/>
      <c r="L122" s="177"/>
      <c r="M122" s="162"/>
      <c r="N122" s="164"/>
    </row>
    <row r="123" spans="1:14" x14ac:dyDescent="0.25">
      <c r="B123" s="150">
        <v>8</v>
      </c>
      <c r="C123" s="151">
        <f t="shared" ca="1" si="7"/>
        <v>0.79679088752667271</v>
      </c>
      <c r="D123" s="151">
        <f t="shared" ca="1" si="8"/>
        <v>9.5611183166055529</v>
      </c>
      <c r="E123" s="151">
        <f t="shared" ca="1" si="9"/>
        <v>0.93022157047465992</v>
      </c>
      <c r="F123" s="151">
        <f t="shared" ca="1" si="10"/>
        <v>15.974582097374828</v>
      </c>
      <c r="G123" s="152">
        <f t="shared" ca="1" si="11"/>
        <v>9.5611183166055529</v>
      </c>
      <c r="H123" s="153">
        <f t="shared" ca="1" si="13"/>
        <v>30.262627298067279</v>
      </c>
      <c r="I123" s="172"/>
      <c r="J123" s="154">
        <f t="shared" ca="1" si="12"/>
        <v>685.70452486462852</v>
      </c>
      <c r="K123" s="175"/>
      <c r="L123" s="177"/>
      <c r="M123" s="162"/>
      <c r="N123" s="164"/>
    </row>
    <row r="124" spans="1:14" x14ac:dyDescent="0.25">
      <c r="B124" s="150">
        <v>9</v>
      </c>
      <c r="C124" s="151">
        <f t="shared" ca="1" si="7"/>
        <v>0.46098046290677341</v>
      </c>
      <c r="D124" s="151">
        <f t="shared" ca="1" si="8"/>
        <v>3.7080207708230093</v>
      </c>
      <c r="E124" s="151">
        <f t="shared" ca="1" si="9"/>
        <v>0.96654640087592314</v>
      </c>
      <c r="F124" s="151">
        <f t="shared" ca="1" si="10"/>
        <v>20.38557540638228</v>
      </c>
      <c r="G124" s="152">
        <f t="shared" ca="1" si="11"/>
        <v>3.7080207708230093</v>
      </c>
      <c r="H124" s="153">
        <f t="shared" ca="1" si="13"/>
        <v>33.970648068890291</v>
      </c>
      <c r="I124" s="172"/>
      <c r="J124" s="154">
        <f t="shared" ca="1" si="12"/>
        <v>893.65011343145784</v>
      </c>
      <c r="K124" s="175"/>
      <c r="L124" s="177"/>
      <c r="M124" s="162"/>
      <c r="N124" s="164"/>
    </row>
    <row r="125" spans="1:14" x14ac:dyDescent="0.25">
      <c r="B125" s="150">
        <v>10</v>
      </c>
      <c r="C125" s="151">
        <f t="shared" ca="1" si="7"/>
        <v>0.23562439499511389</v>
      </c>
      <c r="D125" s="151">
        <f t="shared" ca="1" si="8"/>
        <v>1.6121758862298039</v>
      </c>
      <c r="E125" s="151">
        <f t="shared" ca="1" si="9"/>
        <v>0.77355306721968764</v>
      </c>
      <c r="F125" s="151">
        <f t="shared" ca="1" si="10"/>
        <v>8.9114679232226592</v>
      </c>
      <c r="G125" s="152">
        <f t="shared" ca="1" si="11"/>
        <v>1.6121758862298039</v>
      </c>
      <c r="H125" s="153">
        <f t="shared" ca="1" si="13"/>
        <v>35.582823955120098</v>
      </c>
      <c r="I125" s="172"/>
      <c r="J125" s="154">
        <f t="shared" ca="1" si="12"/>
        <v>992.63793586564884</v>
      </c>
      <c r="K125" s="175"/>
      <c r="L125" s="177"/>
      <c r="M125" s="162"/>
      <c r="N125" s="164"/>
    </row>
    <row r="126" spans="1:14" x14ac:dyDescent="0.25">
      <c r="B126" s="150">
        <v>11</v>
      </c>
      <c r="C126" s="151">
        <f t="shared" ca="1" si="7"/>
        <v>8.3454712082983606E-2</v>
      </c>
      <c r="D126" s="151">
        <f t="shared" ca="1" si="8"/>
        <v>0.52286279363079413</v>
      </c>
      <c r="E126" s="151">
        <f t="shared" ca="1" si="9"/>
        <v>0.70845821540773435</v>
      </c>
      <c r="F126" s="151">
        <f t="shared" ca="1" si="10"/>
        <v>7.3954316405674536</v>
      </c>
      <c r="G126" s="152">
        <f t="shared" ca="1" si="11"/>
        <v>0.52286279363079413</v>
      </c>
      <c r="H126" s="153">
        <f t="shared" ca="1" si="13"/>
        <v>36.105686748750891</v>
      </c>
      <c r="I126" s="172"/>
      <c r="J126" s="154">
        <f t="shared" ca="1" si="12"/>
        <v>1025.8581160132483</v>
      </c>
      <c r="K126" s="175"/>
      <c r="L126" s="177"/>
      <c r="M126" s="162"/>
      <c r="N126" s="164"/>
    </row>
    <row r="127" spans="1:14" x14ac:dyDescent="0.25">
      <c r="B127" s="150">
        <v>12</v>
      </c>
      <c r="C127" s="151">
        <f t="shared" ca="1" si="7"/>
        <v>0.14066248203545084</v>
      </c>
      <c r="D127" s="151">
        <f t="shared" ca="1" si="8"/>
        <v>0.90956108722689866</v>
      </c>
      <c r="E127" s="151">
        <f t="shared" ca="1" si="9"/>
        <v>2.8431885563779957E-2</v>
      </c>
      <c r="F127" s="151">
        <f t="shared" ca="1" si="10"/>
        <v>0.17306339985461672</v>
      </c>
      <c r="G127" s="152">
        <f t="shared" ca="1" si="11"/>
        <v>0.17306339985461672</v>
      </c>
      <c r="H127" s="153">
        <f t="shared" ca="1" si="13"/>
        <v>36.278750148605511</v>
      </c>
      <c r="I127" s="172"/>
      <c r="J127" s="154">
        <f t="shared" ca="1" si="12"/>
        <v>1036.9741691108256</v>
      </c>
      <c r="K127" s="175"/>
      <c r="L127" s="177"/>
      <c r="M127" s="162"/>
      <c r="N127" s="164"/>
    </row>
    <row r="128" spans="1:14" x14ac:dyDescent="0.25">
      <c r="B128" s="150">
        <v>13</v>
      </c>
      <c r="C128" s="151">
        <f t="shared" ca="1" si="7"/>
        <v>0.1186084677992264</v>
      </c>
      <c r="D128" s="151">
        <f t="shared" ca="1" si="8"/>
        <v>0.75752000301189226</v>
      </c>
      <c r="E128" s="151">
        <f t="shared" ca="1" si="9"/>
        <v>0.50712459976710744</v>
      </c>
      <c r="F128" s="151">
        <f t="shared" ca="1" si="10"/>
        <v>4.2449932484841515</v>
      </c>
      <c r="G128" s="152">
        <f t="shared" ca="1" si="11"/>
        <v>0.75752000301189226</v>
      </c>
      <c r="H128" s="153">
        <f t="shared" ca="1" si="13"/>
        <v>37.036270151617401</v>
      </c>
      <c r="I128" s="172"/>
      <c r="J128" s="154">
        <f t="shared" ca="1" si="12"/>
        <v>1086.3354501484964</v>
      </c>
      <c r="K128" s="175"/>
      <c r="L128" s="177"/>
      <c r="M128" s="162"/>
      <c r="N128" s="164"/>
    </row>
    <row r="129" spans="1:14" ht="15.75" thickBot="1" x14ac:dyDescent="0.3">
      <c r="B129" s="150">
        <v>14</v>
      </c>
      <c r="C129" s="151">
        <f t="shared" ca="1" si="7"/>
        <v>7.0377166575544159E-2</v>
      </c>
      <c r="D129" s="151">
        <f t="shared" ca="1" si="8"/>
        <v>0.43785798331359449</v>
      </c>
      <c r="E129" s="151">
        <f t="shared" ca="1" si="9"/>
        <v>0.56455062079427754</v>
      </c>
      <c r="F129" s="151">
        <f t="shared" ca="1" si="10"/>
        <v>4.9882603528973277</v>
      </c>
      <c r="G129" s="152">
        <f t="shared" ca="1" si="11"/>
        <v>0.43785798331359449</v>
      </c>
      <c r="H129" s="153">
        <f t="shared" ca="1" si="13"/>
        <v>37.474128134930993</v>
      </c>
      <c r="I129" s="173"/>
      <c r="J129" s="154">
        <f t="shared" ca="1" si="12"/>
        <v>1115.390420631602</v>
      </c>
      <c r="K129" s="176"/>
      <c r="L129" s="178"/>
      <c r="M129" s="163"/>
      <c r="N129" s="165"/>
    </row>
    <row r="130" spans="1:14" x14ac:dyDescent="0.25">
      <c r="B130" s="150">
        <v>15</v>
      </c>
      <c r="C130" s="151">
        <f t="shared" ca="1" si="7"/>
        <v>0.98753136502624939</v>
      </c>
      <c r="D130" s="151">
        <f t="shared" ca="1" si="8"/>
        <v>26.30723394058446</v>
      </c>
      <c r="E130" s="151">
        <f t="shared" ca="1" si="9"/>
        <v>0.98894307854475016</v>
      </c>
      <c r="F130" s="151">
        <f t="shared" ca="1" si="10"/>
        <v>27.02819202641555</v>
      </c>
      <c r="G130" s="152">
        <f t="shared" ca="1" si="11"/>
        <v>26.30723394058446</v>
      </c>
      <c r="H130" s="153">
        <f t="shared" ca="1" si="13"/>
        <v>63.781362075515453</v>
      </c>
      <c r="J130" s="154">
        <f t="shared" ca="1" si="12"/>
        <v>3564.6506326029921</v>
      </c>
    </row>
    <row r="131" spans="1:14" x14ac:dyDescent="0.25">
      <c r="B131" s="150">
        <v>16</v>
      </c>
      <c r="C131" s="151">
        <f t="shared" ca="1" si="7"/>
        <v>0.56359589782776631</v>
      </c>
      <c r="D131" s="151">
        <f t="shared" ca="1" si="8"/>
        <v>4.9751197502362086</v>
      </c>
      <c r="E131" s="151">
        <f t="shared" ca="1" si="9"/>
        <v>0.13396392266697876</v>
      </c>
      <c r="F131" s="151">
        <f t="shared" ca="1" si="10"/>
        <v>0.86297226929726911</v>
      </c>
      <c r="G131" s="152">
        <f t="shared" ca="1" si="11"/>
        <v>0.86297226929726911</v>
      </c>
      <c r="H131" s="153">
        <f t="shared" ca="1" si="13"/>
        <v>64.644334344812719</v>
      </c>
      <c r="J131" s="154">
        <f t="shared" ca="1" si="12"/>
        <v>3668.4423464026227</v>
      </c>
    </row>
    <row r="132" spans="1:14" x14ac:dyDescent="0.25">
      <c r="A132" s="107"/>
      <c r="B132" s="150">
        <v>17</v>
      </c>
      <c r="C132" s="151">
        <f t="shared" ca="1" si="7"/>
        <v>0.63964090752473046</v>
      </c>
      <c r="D132" s="151">
        <f t="shared" ca="1" si="8"/>
        <v>6.1239255935142864</v>
      </c>
      <c r="E132" s="151">
        <f t="shared" ca="1" si="9"/>
        <v>0.40374672417633939</v>
      </c>
      <c r="F132" s="151">
        <f t="shared" ca="1" si="10"/>
        <v>3.102538456504818</v>
      </c>
      <c r="G132" s="152">
        <f t="shared" ca="1" si="11"/>
        <v>3.102538456504818</v>
      </c>
      <c r="H132" s="153">
        <f t="shared" ca="1" si="13"/>
        <v>67.746872801317537</v>
      </c>
      <c r="J132" s="154">
        <f t="shared" ca="1" si="12"/>
        <v>4053.895126556426</v>
      </c>
    </row>
    <row r="133" spans="1:14" x14ac:dyDescent="0.25">
      <c r="A133" s="107"/>
      <c r="B133" s="150">
        <v>18</v>
      </c>
      <c r="C133" s="151">
        <f t="shared" ca="1" si="7"/>
        <v>0.88425750843592799</v>
      </c>
      <c r="D133" s="151">
        <f t="shared" ca="1" si="8"/>
        <v>12.938324734900773</v>
      </c>
      <c r="E133" s="151">
        <f t="shared" ca="1" si="9"/>
        <v>0.73789781034905544</v>
      </c>
      <c r="F133" s="151">
        <f t="shared" ca="1" si="10"/>
        <v>8.0341248865798072</v>
      </c>
      <c r="G133" s="152">
        <f t="shared" ca="1" si="11"/>
        <v>8.0341248865798072</v>
      </c>
      <c r="H133" s="153">
        <f t="shared" ca="1" si="13"/>
        <v>75.78099768789734</v>
      </c>
      <c r="J133" s="154">
        <f t="shared" ca="1" si="12"/>
        <v>5141.5110616688207</v>
      </c>
    </row>
    <row r="134" spans="1:14" x14ac:dyDescent="0.25">
      <c r="A134" s="107"/>
      <c r="B134" s="150">
        <v>19</v>
      </c>
      <c r="C134" s="151">
        <f t="shared" ca="1" si="7"/>
        <v>0.69090855745658675</v>
      </c>
      <c r="D134" s="151">
        <f t="shared" ca="1" si="8"/>
        <v>7.044708691811973</v>
      </c>
      <c r="E134" s="151">
        <f t="shared" ca="1" si="9"/>
        <v>0.24367093545407337</v>
      </c>
      <c r="F134" s="151">
        <f t="shared" ca="1" si="10"/>
        <v>1.675672361651765</v>
      </c>
      <c r="G134" s="152">
        <f t="shared" ca="1" si="11"/>
        <v>1.675672361651765</v>
      </c>
      <c r="H134" s="153">
        <f t="shared" ca="1" si="13"/>
        <v>77.456670049549103</v>
      </c>
      <c r="J134" s="154">
        <f t="shared" ca="1" si="12"/>
        <v>5384.6248703417396</v>
      </c>
    </row>
    <row r="135" spans="1:14" x14ac:dyDescent="0.25">
      <c r="A135" s="107"/>
      <c r="B135" s="150"/>
      <c r="C135" s="151"/>
      <c r="D135" s="151"/>
      <c r="E135" s="151"/>
      <c r="F135" s="151"/>
      <c r="G135" s="152"/>
      <c r="H135" s="153"/>
      <c r="J135" s="155"/>
    </row>
    <row r="136" spans="1:14" x14ac:dyDescent="0.25">
      <c r="A136" s="107"/>
      <c r="B136" s="150"/>
      <c r="C136" s="151"/>
      <c r="D136" s="151"/>
      <c r="E136" s="151"/>
      <c r="F136" s="151"/>
      <c r="G136" s="152"/>
      <c r="H136" s="153"/>
      <c r="J136" s="155"/>
    </row>
    <row r="137" spans="1:14" x14ac:dyDescent="0.25">
      <c r="A137" s="107"/>
      <c r="B137" s="150"/>
      <c r="C137" s="151"/>
      <c r="D137" s="151"/>
      <c r="E137" s="151"/>
      <c r="F137" s="151"/>
      <c r="G137" s="152"/>
      <c r="H137" s="153"/>
      <c r="J137" s="155"/>
    </row>
    <row r="138" spans="1:14" x14ac:dyDescent="0.25">
      <c r="A138" s="107"/>
      <c r="B138" s="150"/>
      <c r="C138" s="151"/>
      <c r="D138" s="151"/>
      <c r="E138" s="151"/>
      <c r="F138" s="151"/>
      <c r="G138" s="152"/>
      <c r="H138" s="153"/>
      <c r="J138" s="155"/>
    </row>
    <row r="139" spans="1:14" x14ac:dyDescent="0.25">
      <c r="A139" s="107"/>
      <c r="B139" s="150"/>
      <c r="C139" s="151"/>
      <c r="D139" s="151"/>
      <c r="E139" s="151"/>
      <c r="F139" s="151"/>
      <c r="G139" s="152"/>
      <c r="H139" s="153"/>
      <c r="J139" s="155"/>
    </row>
    <row r="140" spans="1:14" x14ac:dyDescent="0.25">
      <c r="A140" s="107"/>
      <c r="B140" s="150"/>
      <c r="C140" s="151"/>
      <c r="D140" s="151"/>
      <c r="E140" s="151"/>
      <c r="F140" s="151"/>
      <c r="G140" s="152"/>
      <c r="H140" s="153"/>
      <c r="J140" s="155"/>
    </row>
    <row r="141" spans="1:14" x14ac:dyDescent="0.25">
      <c r="A141" s="107"/>
      <c r="B141" s="150"/>
      <c r="C141" s="151"/>
      <c r="D141" s="151"/>
      <c r="E141" s="151"/>
      <c r="F141" s="151"/>
      <c r="G141" s="152"/>
      <c r="H141" s="153"/>
      <c r="J141" s="155"/>
    </row>
    <row r="142" spans="1:14" x14ac:dyDescent="0.25">
      <c r="A142" s="107"/>
      <c r="B142" s="150"/>
      <c r="C142" s="151"/>
      <c r="D142" s="151"/>
      <c r="E142" s="151"/>
      <c r="F142" s="151"/>
      <c r="G142" s="152"/>
      <c r="H142" s="153"/>
      <c r="J142" s="155"/>
    </row>
    <row r="143" spans="1:14" x14ac:dyDescent="0.25">
      <c r="A143" s="107"/>
      <c r="B143" s="150"/>
      <c r="C143" s="151"/>
      <c r="D143" s="151"/>
      <c r="E143" s="151"/>
      <c r="F143" s="151"/>
      <c r="G143" s="152"/>
      <c r="H143" s="153"/>
      <c r="J143" s="155"/>
    </row>
    <row r="144" spans="1:14" ht="15.75" thickBot="1" x14ac:dyDescent="0.3">
      <c r="A144" s="107"/>
      <c r="B144" s="156"/>
      <c r="C144" s="157"/>
      <c r="D144" s="157"/>
      <c r="E144" s="157"/>
      <c r="F144" s="157"/>
      <c r="G144" s="158"/>
      <c r="H144" s="159"/>
      <c r="J144" s="160"/>
    </row>
    <row r="145" spans="1:5" x14ac:dyDescent="0.25">
      <c r="A145" s="107"/>
      <c r="B145" s="161"/>
      <c r="C145" s="107"/>
      <c r="D145" s="107"/>
      <c r="E145" s="107"/>
    </row>
    <row r="146" spans="1:5" x14ac:dyDescent="0.25">
      <c r="A146" s="107"/>
      <c r="B146" s="161"/>
      <c r="C146" s="107"/>
      <c r="D146" s="107"/>
      <c r="E146" s="107"/>
    </row>
    <row r="147" spans="1:5" x14ac:dyDescent="0.25">
      <c r="A147" s="107"/>
      <c r="B147" s="161"/>
      <c r="C147" s="107"/>
      <c r="D147" s="107"/>
      <c r="E147" s="107"/>
    </row>
    <row r="148" spans="1:5" x14ac:dyDescent="0.25">
      <c r="A148" s="107"/>
      <c r="B148" s="107"/>
      <c r="C148" s="107"/>
      <c r="D148" s="107"/>
      <c r="E148" s="107"/>
    </row>
  </sheetData>
  <sortState ref="B32:B51">
    <sortCondition ref="B32"/>
  </sortState>
  <mergeCells count="15">
    <mergeCell ref="B59:E59"/>
    <mergeCell ref="B26:F26"/>
    <mergeCell ref="K38:U39"/>
    <mergeCell ref="E52:F52"/>
    <mergeCell ref="E53:F53"/>
    <mergeCell ref="E54:F54"/>
    <mergeCell ref="M116:M129"/>
    <mergeCell ref="N116:N129"/>
    <mergeCell ref="B76:B77"/>
    <mergeCell ref="E86:L87"/>
    <mergeCell ref="G98:H98"/>
    <mergeCell ref="E107:L108"/>
    <mergeCell ref="I116:I129"/>
    <mergeCell ref="K116:K129"/>
    <mergeCell ref="L116:L129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icuadradot1">
                <anchor moveWithCells="1" sizeWithCells="1">
                  <from>
                    <xdr:col>9</xdr:col>
                    <xdr:colOff>19050</xdr:colOff>
                    <xdr:row>33</xdr:row>
                    <xdr:rowOff>180975</xdr:rowOff>
                  </from>
                  <to>
                    <xdr:col>9</xdr:col>
                    <xdr:colOff>742950</xdr:colOff>
                    <xdr:row>36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69E1-2B70-4BD3-909A-17BB360E0100}">
  <sheetPr codeName="Hoja2"/>
  <dimension ref="A1:U148"/>
  <sheetViews>
    <sheetView tabSelected="1" workbookViewId="0">
      <selection activeCell="G50" sqref="G50"/>
    </sheetView>
  </sheetViews>
  <sheetFormatPr baseColWidth="10" defaultRowHeight="15" x14ac:dyDescent="0.25"/>
  <cols>
    <col min="1" max="1" width="11.42578125" style="2"/>
    <col min="2" max="2" width="10.7109375" style="2" customWidth="1"/>
    <col min="3" max="4" width="11.42578125" style="2"/>
    <col min="5" max="5" width="18.85546875" style="2" bestFit="1" customWidth="1"/>
    <col min="6" max="6" width="18.85546875" style="2" customWidth="1"/>
    <col min="7" max="7" width="24.85546875" style="3" customWidth="1"/>
    <col min="8" max="10" width="11.42578125" style="2"/>
    <col min="11" max="11" width="22.140625" style="2" customWidth="1"/>
    <col min="12" max="12" width="17.140625" style="2" customWidth="1"/>
    <col min="13" max="13" width="13.7109375" style="2" customWidth="1"/>
    <col min="14" max="16384" width="11.42578125" style="2"/>
  </cols>
  <sheetData>
    <row r="1" spans="1:8" x14ac:dyDescent="0.25">
      <c r="A1" s="1" t="s">
        <v>10</v>
      </c>
      <c r="B1" s="2" t="s">
        <v>11</v>
      </c>
      <c r="C1" s="2" t="s">
        <v>84</v>
      </c>
    </row>
    <row r="2" spans="1:8" x14ac:dyDescent="0.25">
      <c r="B2" s="2" t="s">
        <v>12</v>
      </c>
      <c r="C2" s="2" t="s">
        <v>83</v>
      </c>
    </row>
    <row r="3" spans="1:8" x14ac:dyDescent="0.25">
      <c r="B3" s="2" t="s">
        <v>13</v>
      </c>
      <c r="C3" s="2" t="s">
        <v>82</v>
      </c>
    </row>
    <row r="4" spans="1:8" x14ac:dyDescent="0.25">
      <c r="B4" s="2" t="s">
        <v>14</v>
      </c>
      <c r="C4" s="2" t="s">
        <v>85</v>
      </c>
    </row>
    <row r="6" spans="1:8" x14ac:dyDescent="0.25">
      <c r="A6" s="1" t="s">
        <v>15</v>
      </c>
      <c r="B6" s="3" t="s">
        <v>16</v>
      </c>
      <c r="C6" s="3">
        <v>1</v>
      </c>
      <c r="D6" s="3">
        <v>2</v>
      </c>
      <c r="E6" s="3">
        <v>3</v>
      </c>
      <c r="F6" s="3">
        <v>4</v>
      </c>
      <c r="G6" s="3">
        <v>5</v>
      </c>
      <c r="H6" s="3">
        <v>6</v>
      </c>
    </row>
    <row r="7" spans="1:8" x14ac:dyDescent="0.25">
      <c r="B7" s="3" t="s">
        <v>17</v>
      </c>
      <c r="C7" s="2">
        <f>1/21</f>
        <v>4.7619047619047616E-2</v>
      </c>
      <c r="D7" s="2">
        <f>2/21</f>
        <v>9.5238095238095233E-2</v>
      </c>
      <c r="E7" s="2">
        <f>3/21</f>
        <v>0.14285714285714285</v>
      </c>
      <c r="F7" s="2">
        <f>4/21</f>
        <v>0.19047619047619047</v>
      </c>
      <c r="G7" s="2">
        <f>5/21</f>
        <v>0.23809523809523808</v>
      </c>
      <c r="H7" s="2">
        <f>6/21</f>
        <v>0.2857142857142857</v>
      </c>
    </row>
    <row r="8" spans="1:8" x14ac:dyDescent="0.25">
      <c r="B8" s="3" t="s">
        <v>18</v>
      </c>
      <c r="C8" s="2">
        <f>C7</f>
        <v>4.7619047619047616E-2</v>
      </c>
      <c r="D8" s="2">
        <f>C8+D7</f>
        <v>0.14285714285714285</v>
      </c>
      <c r="E8" s="2">
        <f>D8+E7</f>
        <v>0.2857142857142857</v>
      </c>
      <c r="F8" s="2">
        <f>E8+F7</f>
        <v>0.47619047619047616</v>
      </c>
      <c r="G8" s="2">
        <f t="shared" ref="G8:H8" si="0">F8+G7</f>
        <v>0.71428571428571419</v>
      </c>
      <c r="H8" s="2">
        <f t="shared" si="0"/>
        <v>0.99999999999999989</v>
      </c>
    </row>
    <row r="9" spans="1:8" x14ac:dyDescent="0.25">
      <c r="B9" s="3"/>
      <c r="G9" s="2"/>
    </row>
    <row r="10" spans="1:8" x14ac:dyDescent="0.25">
      <c r="B10" s="3"/>
      <c r="G10" s="2"/>
    </row>
    <row r="11" spans="1:8" x14ac:dyDescent="0.25">
      <c r="B11" s="3"/>
      <c r="G11" s="2"/>
    </row>
    <row r="12" spans="1:8" x14ac:dyDescent="0.25">
      <c r="B12" s="3"/>
      <c r="G12" s="2"/>
    </row>
    <row r="13" spans="1:8" x14ac:dyDescent="0.25">
      <c r="B13" s="3"/>
      <c r="G13" s="2"/>
    </row>
    <row r="14" spans="1:8" x14ac:dyDescent="0.25">
      <c r="B14" s="3"/>
      <c r="G14" s="2"/>
    </row>
    <row r="15" spans="1:8" x14ac:dyDescent="0.25">
      <c r="B15" s="3"/>
      <c r="G15" s="2"/>
    </row>
    <row r="16" spans="1:8" x14ac:dyDescent="0.25">
      <c r="B16" s="3"/>
      <c r="G16" s="2"/>
    </row>
    <row r="17" spans="1:21" x14ac:dyDescent="0.25">
      <c r="B17" s="3"/>
      <c r="G17" s="2"/>
    </row>
    <row r="18" spans="1:21" x14ac:dyDescent="0.25">
      <c r="B18" s="3"/>
      <c r="G18" s="2"/>
    </row>
    <row r="19" spans="1:21" x14ac:dyDescent="0.25">
      <c r="B19" s="3"/>
      <c r="G19" s="2"/>
    </row>
    <row r="20" spans="1:21" x14ac:dyDescent="0.25">
      <c r="B20" s="3"/>
      <c r="G20" s="2"/>
    </row>
    <row r="21" spans="1:21" x14ac:dyDescent="0.25">
      <c r="B21" s="3"/>
      <c r="G21" s="2"/>
    </row>
    <row r="22" spans="1:21" x14ac:dyDescent="0.25">
      <c r="B22" s="3"/>
      <c r="G22" s="2"/>
    </row>
    <row r="23" spans="1:21" x14ac:dyDescent="0.25">
      <c r="B23" s="3"/>
      <c r="G23" s="2"/>
    </row>
    <row r="24" spans="1:21" x14ac:dyDescent="0.25">
      <c r="B24" s="3"/>
      <c r="G24" s="2"/>
    </row>
    <row r="25" spans="1:21" x14ac:dyDescent="0.25">
      <c r="A25" s="1" t="s">
        <v>21</v>
      </c>
      <c r="B25" s="3"/>
      <c r="G25" s="2"/>
    </row>
    <row r="26" spans="1:21" x14ac:dyDescent="0.25">
      <c r="B26" s="185" t="s">
        <v>33</v>
      </c>
      <c r="C26" s="186"/>
      <c r="D26" s="186"/>
      <c r="E26" s="186"/>
      <c r="F26" s="187"/>
    </row>
    <row r="27" spans="1:21" x14ac:dyDescent="0.25">
      <c r="B27" s="4" t="s">
        <v>34</v>
      </c>
      <c r="C27" s="5"/>
      <c r="D27" s="5"/>
      <c r="E27" s="5"/>
      <c r="F27" s="6"/>
    </row>
    <row r="28" spans="1:21" x14ac:dyDescent="0.25">
      <c r="B28" s="7" t="s">
        <v>35</v>
      </c>
      <c r="C28" s="8"/>
      <c r="D28" s="8"/>
      <c r="E28" s="8"/>
      <c r="F28" s="9"/>
    </row>
    <row r="29" spans="1:21" ht="15.75" thickBot="1" x14ac:dyDescent="0.3">
      <c r="B29" s="10" t="s">
        <v>31</v>
      </c>
      <c r="D29" s="3"/>
      <c r="G29" s="10" t="s">
        <v>32</v>
      </c>
    </row>
    <row r="30" spans="1:21" x14ac:dyDescent="0.25">
      <c r="A30" s="3"/>
      <c r="B30" s="11"/>
      <c r="C30" s="11"/>
      <c r="D30" s="11"/>
      <c r="E30" s="11" t="s">
        <v>23</v>
      </c>
      <c r="F30" s="11" t="s">
        <v>24</v>
      </c>
      <c r="K30" s="12" t="s">
        <v>0</v>
      </c>
      <c r="L30" s="13">
        <v>1</v>
      </c>
      <c r="M30" s="13">
        <v>2</v>
      </c>
      <c r="N30" s="13">
        <v>3</v>
      </c>
      <c r="O30" s="13">
        <v>4</v>
      </c>
      <c r="P30" s="13">
        <v>5</v>
      </c>
      <c r="Q30" s="13">
        <v>6</v>
      </c>
      <c r="R30" s="13">
        <v>7</v>
      </c>
      <c r="S30" s="13">
        <v>8</v>
      </c>
      <c r="T30" s="13">
        <v>9</v>
      </c>
      <c r="U30" s="14">
        <v>10</v>
      </c>
    </row>
    <row r="31" spans="1:21" x14ac:dyDescent="0.25">
      <c r="B31" s="11" t="s">
        <v>19</v>
      </c>
      <c r="C31" s="11" t="s">
        <v>20</v>
      </c>
      <c r="D31" s="11" t="s">
        <v>22</v>
      </c>
      <c r="E31" s="11" t="s">
        <v>25</v>
      </c>
      <c r="F31" s="11" t="s">
        <v>26</v>
      </c>
      <c r="H31" s="3"/>
      <c r="I31" s="3"/>
      <c r="K31" s="15" t="s">
        <v>1</v>
      </c>
      <c r="L31" s="16">
        <v>0</v>
      </c>
      <c r="M31" s="16">
        <v>0.1</v>
      </c>
      <c r="N31" s="16">
        <v>0.2</v>
      </c>
      <c r="O31" s="16">
        <v>0.30000000000000004</v>
      </c>
      <c r="P31" s="16">
        <v>0.4</v>
      </c>
      <c r="Q31" s="16">
        <v>0.5</v>
      </c>
      <c r="R31" s="16">
        <v>0.6</v>
      </c>
      <c r="S31" s="16">
        <v>0.7</v>
      </c>
      <c r="T31" s="16">
        <v>0.79999999999999993</v>
      </c>
      <c r="U31" s="17">
        <v>0.89999999999999991</v>
      </c>
    </row>
    <row r="32" spans="1:21" x14ac:dyDescent="0.25">
      <c r="B32" s="18">
        <v>0.20930000000000001</v>
      </c>
      <c r="C32" s="18">
        <v>1</v>
      </c>
      <c r="D32" s="18">
        <f>C32/20</f>
        <v>0.05</v>
      </c>
      <c r="E32" s="18">
        <f>D32-B32</f>
        <v>-0.1593</v>
      </c>
      <c r="F32" s="18">
        <f>B32-((C32-1)/20)</f>
        <v>0.20930000000000001</v>
      </c>
      <c r="G32" s="2"/>
      <c r="K32" s="15" t="s">
        <v>2</v>
      </c>
      <c r="L32" s="16">
        <v>0.1</v>
      </c>
      <c r="M32" s="16">
        <v>0.2</v>
      </c>
      <c r="N32" s="16">
        <v>0.30000000000000004</v>
      </c>
      <c r="O32" s="16">
        <v>0.4</v>
      </c>
      <c r="P32" s="16">
        <v>0.5</v>
      </c>
      <c r="Q32" s="16">
        <v>0.6</v>
      </c>
      <c r="R32" s="16">
        <v>0.7</v>
      </c>
      <c r="S32" s="16">
        <v>0.79999999999999993</v>
      </c>
      <c r="T32" s="16">
        <v>0.89999999999999991</v>
      </c>
      <c r="U32" s="17">
        <v>0.99999999999999989</v>
      </c>
    </row>
    <row r="33" spans="2:21" x14ac:dyDescent="0.25">
      <c r="B33" s="18">
        <v>0.25580000000000003</v>
      </c>
      <c r="C33" s="18">
        <v>2</v>
      </c>
      <c r="D33" s="18">
        <f t="shared" ref="D33:D51" si="1">C33/20</f>
        <v>0.1</v>
      </c>
      <c r="E33" s="18">
        <f t="shared" ref="E33:E51" si="2">D33-B33</f>
        <v>-0.15580000000000002</v>
      </c>
      <c r="F33" s="18">
        <f t="shared" ref="F33:F51" si="3">B33-((C33-1)/20)</f>
        <v>0.20580000000000004</v>
      </c>
      <c r="G33" s="2"/>
      <c r="K33" s="15" t="s">
        <v>3</v>
      </c>
      <c r="L33" s="16">
        <v>0.1</v>
      </c>
      <c r="M33" s="16">
        <v>0.2</v>
      </c>
      <c r="N33" s="16">
        <v>0.30000000000000004</v>
      </c>
      <c r="O33" s="16">
        <v>0.4</v>
      </c>
      <c r="P33" s="16">
        <v>0.5</v>
      </c>
      <c r="Q33" s="16">
        <v>0.6</v>
      </c>
      <c r="R33" s="16">
        <v>0.7</v>
      </c>
      <c r="S33" s="16">
        <v>0.79999999999999993</v>
      </c>
      <c r="T33" s="16">
        <v>0.89999999999999991</v>
      </c>
      <c r="U33" s="17">
        <v>0.99999999999999989</v>
      </c>
    </row>
    <row r="34" spans="2:21" x14ac:dyDescent="0.25">
      <c r="B34" s="18">
        <v>0.25580000000000003</v>
      </c>
      <c r="C34" s="18">
        <v>3</v>
      </c>
      <c r="D34" s="18">
        <f t="shared" si="1"/>
        <v>0.15</v>
      </c>
      <c r="E34" s="18">
        <f t="shared" si="2"/>
        <v>-0.10580000000000003</v>
      </c>
      <c r="F34" s="18">
        <f t="shared" si="3"/>
        <v>0.15580000000000002</v>
      </c>
      <c r="G34" s="2"/>
      <c r="K34" s="15" t="s">
        <v>4</v>
      </c>
      <c r="L34" s="16">
        <v>0</v>
      </c>
      <c r="M34" s="16">
        <v>0</v>
      </c>
      <c r="N34" s="16">
        <v>3</v>
      </c>
      <c r="O34" s="16">
        <v>4</v>
      </c>
      <c r="P34" s="16">
        <v>3</v>
      </c>
      <c r="Q34" s="16">
        <v>0</v>
      </c>
      <c r="R34" s="16">
        <v>3</v>
      </c>
      <c r="S34" s="16">
        <v>4</v>
      </c>
      <c r="T34" s="16">
        <v>3</v>
      </c>
      <c r="U34" s="17">
        <v>0</v>
      </c>
    </row>
    <row r="35" spans="2:21" x14ac:dyDescent="0.25">
      <c r="B35" s="18">
        <v>0.3488</v>
      </c>
      <c r="C35" s="18">
        <v>4</v>
      </c>
      <c r="D35" s="18">
        <f t="shared" si="1"/>
        <v>0.2</v>
      </c>
      <c r="E35" s="18">
        <f t="shared" si="2"/>
        <v>-0.14879999999999999</v>
      </c>
      <c r="F35" s="18">
        <f t="shared" si="3"/>
        <v>0.1988</v>
      </c>
      <c r="G35" s="3" t="s">
        <v>9</v>
      </c>
      <c r="H35" s="19">
        <v>10</v>
      </c>
      <c r="K35" s="15" t="s">
        <v>5</v>
      </c>
      <c r="L35" s="16">
        <v>2</v>
      </c>
      <c r="M35" s="16">
        <v>2</v>
      </c>
      <c r="N35" s="16">
        <v>2</v>
      </c>
      <c r="O35" s="16">
        <v>2</v>
      </c>
      <c r="P35" s="16">
        <v>2</v>
      </c>
      <c r="Q35" s="16">
        <v>2</v>
      </c>
      <c r="R35" s="16">
        <v>2</v>
      </c>
      <c r="S35" s="16">
        <v>2</v>
      </c>
      <c r="T35" s="16">
        <v>2</v>
      </c>
      <c r="U35" s="17">
        <v>2</v>
      </c>
    </row>
    <row r="36" spans="2:21" x14ac:dyDescent="0.25">
      <c r="B36" s="18">
        <v>0.37209999999999999</v>
      </c>
      <c r="C36" s="18">
        <v>5</v>
      </c>
      <c r="D36" s="18">
        <f t="shared" si="1"/>
        <v>0.25</v>
      </c>
      <c r="E36" s="18">
        <f t="shared" si="2"/>
        <v>-0.12209999999999999</v>
      </c>
      <c r="F36" s="18">
        <f t="shared" si="3"/>
        <v>0.17209999999999998</v>
      </c>
      <c r="G36" s="2"/>
      <c r="K36" s="15" t="s">
        <v>6</v>
      </c>
      <c r="L36" s="16">
        <v>2</v>
      </c>
      <c r="M36" s="16">
        <v>2</v>
      </c>
      <c r="N36" s="16">
        <v>0.5</v>
      </c>
      <c r="O36" s="16">
        <v>2</v>
      </c>
      <c r="P36" s="16">
        <v>0.5</v>
      </c>
      <c r="Q36" s="16">
        <v>2</v>
      </c>
      <c r="R36" s="16">
        <v>0.5</v>
      </c>
      <c r="S36" s="16">
        <v>2</v>
      </c>
      <c r="T36" s="16">
        <v>0.5</v>
      </c>
      <c r="U36" s="17">
        <v>2</v>
      </c>
    </row>
    <row r="37" spans="2:21" ht="15.75" thickBot="1" x14ac:dyDescent="0.3">
      <c r="B37" s="18">
        <v>0.39529999999999998</v>
      </c>
      <c r="C37" s="18">
        <v>6</v>
      </c>
      <c r="D37" s="18">
        <f t="shared" si="1"/>
        <v>0.3</v>
      </c>
      <c r="E37" s="18">
        <f t="shared" si="2"/>
        <v>-9.5299999999999996E-2</v>
      </c>
      <c r="F37" s="18">
        <f t="shared" si="3"/>
        <v>0.14529999999999998</v>
      </c>
      <c r="G37" s="2"/>
      <c r="K37" s="20" t="s">
        <v>7</v>
      </c>
      <c r="L37" s="21">
        <v>2</v>
      </c>
      <c r="M37" s="21">
        <v>4</v>
      </c>
      <c r="N37" s="21">
        <v>4.5</v>
      </c>
      <c r="O37" s="21">
        <v>6.5</v>
      </c>
      <c r="P37" s="22">
        <v>7</v>
      </c>
      <c r="Q37" s="21">
        <v>9</v>
      </c>
      <c r="R37" s="21">
        <v>9.5</v>
      </c>
      <c r="S37" s="21">
        <v>11.5</v>
      </c>
      <c r="T37" s="21">
        <v>12</v>
      </c>
      <c r="U37" s="23">
        <v>14</v>
      </c>
    </row>
    <row r="38" spans="2:21" x14ac:dyDescent="0.25">
      <c r="B38" s="18">
        <v>0.39529999999999998</v>
      </c>
      <c r="C38" s="18">
        <v>7</v>
      </c>
      <c r="D38" s="18">
        <f t="shared" si="1"/>
        <v>0.35</v>
      </c>
      <c r="E38" s="18">
        <f t="shared" si="2"/>
        <v>-4.5300000000000007E-2</v>
      </c>
      <c r="F38" s="18">
        <f t="shared" si="3"/>
        <v>9.5299999999999996E-2</v>
      </c>
      <c r="G38" s="2"/>
      <c r="K38" s="184" t="s">
        <v>8</v>
      </c>
      <c r="L38" s="184"/>
      <c r="M38" s="184"/>
      <c r="N38" s="184"/>
      <c r="O38" s="184"/>
      <c r="P38" s="184"/>
      <c r="Q38" s="184"/>
      <c r="R38" s="184"/>
      <c r="S38" s="184"/>
      <c r="T38" s="184"/>
      <c r="U38" s="184"/>
    </row>
    <row r="39" spans="2:21" x14ac:dyDescent="0.25">
      <c r="B39" s="18">
        <v>0.44190000000000002</v>
      </c>
      <c r="C39" s="18">
        <v>8</v>
      </c>
      <c r="D39" s="18">
        <f t="shared" si="1"/>
        <v>0.4</v>
      </c>
      <c r="E39" s="18">
        <f t="shared" si="2"/>
        <v>-4.1899999999999993E-2</v>
      </c>
      <c r="F39" s="18">
        <f t="shared" si="3"/>
        <v>9.1900000000000037E-2</v>
      </c>
      <c r="G39" s="2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</row>
    <row r="40" spans="2:21" x14ac:dyDescent="0.25">
      <c r="B40" s="18">
        <v>0.46510000000000001</v>
      </c>
      <c r="C40" s="18">
        <v>9</v>
      </c>
      <c r="D40" s="18">
        <f t="shared" si="1"/>
        <v>0.45</v>
      </c>
      <c r="E40" s="18">
        <f t="shared" si="2"/>
        <v>-1.5100000000000002E-2</v>
      </c>
      <c r="F40" s="18">
        <f t="shared" si="3"/>
        <v>6.5099999999999991E-2</v>
      </c>
      <c r="G40" s="2"/>
      <c r="K40" s="24" t="s">
        <v>88</v>
      </c>
      <c r="L40" s="24"/>
      <c r="M40" s="24"/>
      <c r="N40" s="24"/>
      <c r="O40" s="24"/>
      <c r="P40" s="24"/>
      <c r="Q40" s="24"/>
      <c r="R40" s="24"/>
      <c r="S40" s="24"/>
      <c r="T40" s="24"/>
      <c r="U40" s="24"/>
    </row>
    <row r="41" spans="2:21" x14ac:dyDescent="0.25">
      <c r="B41" s="18">
        <v>0.46510000000000001</v>
      </c>
      <c r="C41" s="18">
        <v>10</v>
      </c>
      <c r="D41" s="18">
        <f t="shared" si="1"/>
        <v>0.5</v>
      </c>
      <c r="E41" s="18">
        <f t="shared" si="2"/>
        <v>3.4899999999999987E-2</v>
      </c>
      <c r="F41" s="18">
        <f t="shared" si="3"/>
        <v>1.5100000000000002E-2</v>
      </c>
      <c r="G41" s="2"/>
      <c r="K41" s="24" t="s">
        <v>89</v>
      </c>
      <c r="L41" s="24"/>
      <c r="M41" s="24"/>
      <c r="N41" s="24"/>
      <c r="O41" s="24"/>
      <c r="P41" s="24"/>
      <c r="Q41" s="24"/>
      <c r="R41" s="24"/>
      <c r="S41" s="24"/>
      <c r="T41" s="24"/>
      <c r="U41" s="24"/>
    </row>
    <row r="42" spans="2:21" x14ac:dyDescent="0.25">
      <c r="B42" s="18">
        <v>0.62790000000000001</v>
      </c>
      <c r="C42" s="18">
        <v>11</v>
      </c>
      <c r="D42" s="18">
        <f t="shared" si="1"/>
        <v>0.55000000000000004</v>
      </c>
      <c r="E42" s="18">
        <f t="shared" si="2"/>
        <v>-7.7899999999999969E-2</v>
      </c>
      <c r="F42" s="18">
        <f t="shared" si="3"/>
        <v>0.12790000000000001</v>
      </c>
      <c r="G42" s="2"/>
      <c r="K42" s="206" t="s">
        <v>91</v>
      </c>
    </row>
    <row r="43" spans="2:21" x14ac:dyDescent="0.25">
      <c r="B43" s="18">
        <v>0.6512</v>
      </c>
      <c r="C43" s="18">
        <v>12</v>
      </c>
      <c r="D43" s="18">
        <f t="shared" si="1"/>
        <v>0.6</v>
      </c>
      <c r="E43" s="18">
        <f t="shared" si="2"/>
        <v>-5.1200000000000023E-2</v>
      </c>
      <c r="F43" s="18">
        <f t="shared" si="3"/>
        <v>0.10119999999999996</v>
      </c>
      <c r="G43" s="2"/>
      <c r="I43" t="s">
        <v>95</v>
      </c>
      <c r="J43" t="s">
        <v>96</v>
      </c>
    </row>
    <row r="44" spans="2:21" x14ac:dyDescent="0.25">
      <c r="B44" s="18">
        <v>0.69769999999999999</v>
      </c>
      <c r="C44" s="18">
        <v>13</v>
      </c>
      <c r="D44" s="18">
        <f t="shared" si="1"/>
        <v>0.65</v>
      </c>
      <c r="E44" s="18">
        <f t="shared" si="2"/>
        <v>-4.7699999999999965E-2</v>
      </c>
      <c r="F44" s="18">
        <f t="shared" si="3"/>
        <v>9.7700000000000009E-2</v>
      </c>
      <c r="G44" s="2"/>
      <c r="I44">
        <v>0.25580000000000003</v>
      </c>
      <c r="J44">
        <v>0.20930000000000001</v>
      </c>
    </row>
    <row r="45" spans="2:21" x14ac:dyDescent="0.25">
      <c r="B45" s="18">
        <v>0.72089999999999999</v>
      </c>
      <c r="C45" s="18">
        <v>14</v>
      </c>
      <c r="D45" s="18">
        <f t="shared" si="1"/>
        <v>0.7</v>
      </c>
      <c r="E45" s="18">
        <f t="shared" si="2"/>
        <v>-2.090000000000003E-2</v>
      </c>
      <c r="F45" s="18">
        <f t="shared" si="3"/>
        <v>7.0899999999999963E-2</v>
      </c>
      <c r="G45" s="2"/>
      <c r="I45">
        <v>0.25580000000000003</v>
      </c>
      <c r="J45">
        <v>0.25580000000000003</v>
      </c>
    </row>
    <row r="46" spans="2:21" x14ac:dyDescent="0.25">
      <c r="B46" s="18">
        <v>0.72089999999999999</v>
      </c>
      <c r="C46" s="18">
        <v>15</v>
      </c>
      <c r="D46" s="18">
        <f t="shared" si="1"/>
        <v>0.75</v>
      </c>
      <c r="E46" s="18">
        <f t="shared" si="2"/>
        <v>2.9100000000000015E-2</v>
      </c>
      <c r="F46" s="18">
        <f t="shared" si="3"/>
        <v>2.090000000000003E-2</v>
      </c>
      <c r="G46" s="2"/>
      <c r="I46">
        <v>0.3488</v>
      </c>
      <c r="J46">
        <v>0.25580000000000003</v>
      </c>
    </row>
    <row r="47" spans="2:21" x14ac:dyDescent="0.25">
      <c r="B47" s="18">
        <v>0.74419999999999997</v>
      </c>
      <c r="C47" s="18">
        <v>16</v>
      </c>
      <c r="D47" s="18">
        <f t="shared" si="1"/>
        <v>0.8</v>
      </c>
      <c r="E47" s="18">
        <f t="shared" si="2"/>
        <v>5.5800000000000072E-2</v>
      </c>
      <c r="F47" s="18">
        <f t="shared" si="3"/>
        <v>-5.8000000000000274E-3</v>
      </c>
      <c r="I47">
        <v>0.37209999999999999</v>
      </c>
      <c r="J47">
        <v>0.3488</v>
      </c>
    </row>
    <row r="48" spans="2:21" x14ac:dyDescent="0.25">
      <c r="B48" s="18">
        <v>0.74419999999999997</v>
      </c>
      <c r="C48" s="18">
        <v>17</v>
      </c>
      <c r="D48" s="18">
        <f t="shared" si="1"/>
        <v>0.85</v>
      </c>
      <c r="E48" s="18">
        <f t="shared" si="2"/>
        <v>0.10580000000000001</v>
      </c>
      <c r="F48" s="18">
        <f t="shared" si="3"/>
        <v>-5.5800000000000072E-2</v>
      </c>
      <c r="I48">
        <v>0.39529999999999998</v>
      </c>
      <c r="J48">
        <v>0.37209999999999999</v>
      </c>
    </row>
    <row r="49" spans="1:10" x14ac:dyDescent="0.25">
      <c r="B49" s="18">
        <v>0.83720000000000006</v>
      </c>
      <c r="C49" s="18">
        <v>18</v>
      </c>
      <c r="D49" s="18">
        <f t="shared" si="1"/>
        <v>0.9</v>
      </c>
      <c r="E49" s="18">
        <f t="shared" si="2"/>
        <v>6.2799999999999967E-2</v>
      </c>
      <c r="F49" s="18">
        <f t="shared" si="3"/>
        <v>-1.2799999999999923E-2</v>
      </c>
      <c r="I49">
        <v>0.39529999999999998</v>
      </c>
      <c r="J49">
        <v>0.39529999999999998</v>
      </c>
    </row>
    <row r="50" spans="1:10" x14ac:dyDescent="0.25">
      <c r="B50" s="18">
        <v>0.88370000000000004</v>
      </c>
      <c r="C50" s="18">
        <v>19</v>
      </c>
      <c r="D50" s="18">
        <f t="shared" si="1"/>
        <v>0.95</v>
      </c>
      <c r="E50" s="18">
        <f t="shared" si="2"/>
        <v>6.6299999999999915E-2</v>
      </c>
      <c r="F50" s="18">
        <f t="shared" si="3"/>
        <v>-1.6299999999999981E-2</v>
      </c>
      <c r="I50">
        <v>0.44190000000000002</v>
      </c>
      <c r="J50">
        <v>0.39529999999999998</v>
      </c>
    </row>
    <row r="51" spans="1:10" x14ac:dyDescent="0.25">
      <c r="B51" s="18">
        <v>0.88370000000000004</v>
      </c>
      <c r="C51" s="18">
        <v>20</v>
      </c>
      <c r="D51" s="18">
        <f t="shared" si="1"/>
        <v>1</v>
      </c>
      <c r="E51" s="18">
        <f t="shared" si="2"/>
        <v>0.11629999999999996</v>
      </c>
      <c r="F51" s="18">
        <f t="shared" si="3"/>
        <v>-6.6299999999999915E-2</v>
      </c>
      <c r="I51">
        <v>0.46510000000000001</v>
      </c>
      <c r="J51">
        <v>0.44190000000000002</v>
      </c>
    </row>
    <row r="52" spans="1:10" x14ac:dyDescent="0.25">
      <c r="D52" s="25" t="s">
        <v>28</v>
      </c>
      <c r="E52" s="205">
        <f>MAX(E32:E51)</f>
        <v>0.11629999999999996</v>
      </c>
      <c r="F52" s="205"/>
      <c r="I52">
        <v>0.46510000000000001</v>
      </c>
      <c r="J52">
        <v>0.46510000000000001</v>
      </c>
    </row>
    <row r="53" spans="1:10" x14ac:dyDescent="0.25">
      <c r="D53" s="25" t="s">
        <v>27</v>
      </c>
      <c r="E53" s="205">
        <f>MAX(F32:F51)</f>
        <v>0.20930000000000001</v>
      </c>
      <c r="F53" s="205"/>
      <c r="I53">
        <v>0.62790000000000001</v>
      </c>
      <c r="J53">
        <v>0.46510000000000001</v>
      </c>
    </row>
    <row r="54" spans="1:10" x14ac:dyDescent="0.25">
      <c r="D54" s="16" t="s">
        <v>29</v>
      </c>
      <c r="E54" s="205">
        <f>MAX(E52:F53)</f>
        <v>0.20930000000000001</v>
      </c>
      <c r="F54" s="205"/>
      <c r="I54">
        <v>0.6512</v>
      </c>
      <c r="J54">
        <v>0.62790000000000001</v>
      </c>
    </row>
    <row r="55" spans="1:10" x14ac:dyDescent="0.25">
      <c r="I55">
        <v>0.69769999999999999</v>
      </c>
      <c r="J55">
        <v>0.6512</v>
      </c>
    </row>
    <row r="56" spans="1:10" x14ac:dyDescent="0.25">
      <c r="A56" s="3" t="s">
        <v>30</v>
      </c>
      <c r="C56" s="2">
        <v>0.29399999999999998</v>
      </c>
      <c r="I56">
        <v>0.72089999999999999</v>
      </c>
      <c r="J56">
        <v>0.69769999999999999</v>
      </c>
    </row>
    <row r="57" spans="1:10" x14ac:dyDescent="0.25">
      <c r="A57" s="2" t="str">
        <f>IF(C56&gt;E54,"Se Acepta Ho, hay uniformidad","Se rechaza Ho, no son uniformes")</f>
        <v>Se Acepta Ho, hay uniformidad</v>
      </c>
      <c r="I57">
        <v>0.72089999999999999</v>
      </c>
      <c r="J57">
        <v>0.72089999999999999</v>
      </c>
    </row>
    <row r="58" spans="1:10" x14ac:dyDescent="0.25">
      <c r="I58">
        <v>0.74419999999999997</v>
      </c>
      <c r="J58">
        <v>0.72089999999999999</v>
      </c>
    </row>
    <row r="59" spans="1:10" x14ac:dyDescent="0.25">
      <c r="B59" s="185" t="s">
        <v>33</v>
      </c>
      <c r="C59" s="186"/>
      <c r="D59" s="186"/>
      <c r="E59" s="187"/>
      <c r="I59">
        <v>0.74419999999999997</v>
      </c>
      <c r="J59">
        <v>0.74419999999999997</v>
      </c>
    </row>
    <row r="60" spans="1:10" x14ac:dyDescent="0.25">
      <c r="B60" s="4" t="s">
        <v>36</v>
      </c>
      <c r="C60" s="5"/>
      <c r="D60" s="5"/>
      <c r="E60" s="6"/>
      <c r="I60">
        <v>0.83720000000000006</v>
      </c>
      <c r="J60">
        <v>0.74419999999999997</v>
      </c>
    </row>
    <row r="61" spans="1:10" x14ac:dyDescent="0.25">
      <c r="B61" s="7" t="s">
        <v>37</v>
      </c>
      <c r="C61" s="8"/>
      <c r="D61" s="8"/>
      <c r="E61" s="9"/>
      <c r="I61">
        <v>0.88370000000000004</v>
      </c>
      <c r="J61">
        <v>0.83720000000000006</v>
      </c>
    </row>
    <row r="62" spans="1:10" x14ac:dyDescent="0.25">
      <c r="I62">
        <v>0.88370000000000004</v>
      </c>
      <c r="J62">
        <v>0.88370000000000004</v>
      </c>
    </row>
    <row r="63" spans="1:10" ht="15.75" x14ac:dyDescent="0.25">
      <c r="B63" s="26">
        <v>0.74419999999999997</v>
      </c>
      <c r="C63" s="26">
        <v>0.39529999999999998</v>
      </c>
      <c r="D63" s="26">
        <v>0.72089999999999999</v>
      </c>
      <c r="E63" s="26">
        <v>0.88370000000000004</v>
      </c>
      <c r="F63" s="26">
        <v>0.46510000000000001</v>
      </c>
    </row>
    <row r="64" spans="1:10" ht="15.75" x14ac:dyDescent="0.25">
      <c r="B64" s="26">
        <v>0.25580000000000003</v>
      </c>
      <c r="C64" s="26">
        <v>0.6512</v>
      </c>
      <c r="D64" s="26">
        <v>0.3488</v>
      </c>
      <c r="E64" s="26">
        <v>0.69769999999999999</v>
      </c>
      <c r="F64" s="26">
        <v>0.37209999999999999</v>
      </c>
    </row>
    <row r="65" spans="2:12" ht="15.75" x14ac:dyDescent="0.25">
      <c r="B65" s="26">
        <v>0.20930000000000001</v>
      </c>
      <c r="C65" s="26">
        <v>0.62790000000000001</v>
      </c>
      <c r="D65" s="26">
        <v>0.83720000000000006</v>
      </c>
      <c r="E65" s="26">
        <v>0.44190000000000002</v>
      </c>
      <c r="F65" s="26">
        <v>0.74419999999999997</v>
      </c>
    </row>
    <row r="66" spans="2:12" ht="15.75" x14ac:dyDescent="0.25">
      <c r="B66" s="26">
        <v>0.39529999999999998</v>
      </c>
      <c r="C66" s="26">
        <v>0.72089999999999999</v>
      </c>
      <c r="D66" s="26">
        <v>0.88370000000000004</v>
      </c>
      <c r="E66" s="26">
        <v>0.46510000000000001</v>
      </c>
      <c r="F66" s="26">
        <v>0.25580000000000003</v>
      </c>
    </row>
    <row r="68" spans="2:12" x14ac:dyDescent="0.25">
      <c r="B68" s="10" t="s">
        <v>38</v>
      </c>
      <c r="G68" s="2"/>
    </row>
    <row r="69" spans="2:12" ht="15.75" thickBot="1" x14ac:dyDescent="0.3">
      <c r="G69" s="2"/>
    </row>
    <row r="70" spans="2:12" ht="21" thickBot="1" x14ac:dyDescent="0.3">
      <c r="B70" s="27" t="str">
        <f>IF(B63&gt;C63,"-","+")</f>
        <v>-</v>
      </c>
      <c r="C70" s="28" t="str">
        <f t="shared" ref="C70:E70" si="4">IF(C63&gt;D63,"-","+")</f>
        <v>+</v>
      </c>
      <c r="D70" s="28" t="str">
        <f t="shared" si="4"/>
        <v>+</v>
      </c>
      <c r="E70" s="27" t="str">
        <f t="shared" si="4"/>
        <v>-</v>
      </c>
      <c r="F70" s="27" t="str">
        <f>IF(F63&gt;B64,"-","+")</f>
        <v>-</v>
      </c>
      <c r="G70" s="2"/>
    </row>
    <row r="71" spans="2:12" ht="21.75" thickTop="1" thickBot="1" x14ac:dyDescent="0.3">
      <c r="B71" s="28" t="str">
        <f>IF(B64&gt;C64,"-","+")</f>
        <v>+</v>
      </c>
      <c r="C71" s="27" t="str">
        <f t="shared" ref="C71:E71" si="5">IF(C64&gt;D64,"-","+")</f>
        <v>-</v>
      </c>
      <c r="D71" s="28" t="str">
        <f t="shared" si="5"/>
        <v>+</v>
      </c>
      <c r="E71" s="27" t="str">
        <f t="shared" si="5"/>
        <v>-</v>
      </c>
      <c r="F71" s="27" t="str">
        <f>IF(F64&gt;B65,"-","+")</f>
        <v>-</v>
      </c>
      <c r="G71" s="2"/>
    </row>
    <row r="72" spans="2:12" ht="21.75" thickTop="1" thickBot="1" x14ac:dyDescent="0.3">
      <c r="B72" s="28" t="str">
        <f>IF(B65&gt;C65,"-","+")</f>
        <v>+</v>
      </c>
      <c r="C72" s="28" t="str">
        <f t="shared" ref="C72:D72" si="6">IF(C65&gt;D65,"-","+")</f>
        <v>+</v>
      </c>
      <c r="D72" s="27" t="str">
        <f t="shared" si="6"/>
        <v>-</v>
      </c>
      <c r="E72" s="28" t="str">
        <f>IF(E65&gt;F65,"-","+")</f>
        <v>+</v>
      </c>
      <c r="F72" s="27" t="str">
        <f>IF(F65&gt;B66,"-","+")</f>
        <v>-</v>
      </c>
      <c r="G72" s="2"/>
    </row>
    <row r="73" spans="2:12" ht="21.75" thickTop="1" thickBot="1" x14ac:dyDescent="0.3">
      <c r="B73" s="28" t="str">
        <f>IF(B66&gt;C66,"-","+")</f>
        <v>+</v>
      </c>
      <c r="C73" s="28" t="str">
        <f t="shared" ref="C73:D73" si="7">IF(C66&gt;D66,"-","+")</f>
        <v>+</v>
      </c>
      <c r="D73" s="27" t="str">
        <f t="shared" si="7"/>
        <v>-</v>
      </c>
      <c r="E73" s="27" t="str">
        <f>IF(E66&gt;F66,"-","+")</f>
        <v>-</v>
      </c>
      <c r="F73" s="27"/>
      <c r="G73" s="2"/>
    </row>
    <row r="74" spans="2:12" ht="15.75" thickTop="1" x14ac:dyDescent="0.25">
      <c r="G74" s="2"/>
    </row>
    <row r="75" spans="2:12" ht="15.75" thickBot="1" x14ac:dyDescent="0.3">
      <c r="B75" s="2" t="s">
        <v>59</v>
      </c>
      <c r="G75" s="2"/>
    </row>
    <row r="76" spans="2:12" x14ac:dyDescent="0.25">
      <c r="B76" s="197" t="s">
        <v>39</v>
      </c>
      <c r="C76" s="25" t="s">
        <v>40</v>
      </c>
      <c r="D76" s="29">
        <v>6</v>
      </c>
      <c r="F76" s="30"/>
      <c r="G76" s="31" t="s">
        <v>46</v>
      </c>
      <c r="H76" s="32">
        <f>(2*D79-1)/3</f>
        <v>13</v>
      </c>
    </row>
    <row r="77" spans="2:12" x14ac:dyDescent="0.25">
      <c r="B77" s="197"/>
      <c r="C77" s="33" t="s">
        <v>41</v>
      </c>
      <c r="D77" s="29">
        <v>7</v>
      </c>
      <c r="F77" s="30"/>
      <c r="G77" s="34"/>
      <c r="H77" s="35"/>
    </row>
    <row r="78" spans="2:12" ht="15.75" thickBot="1" x14ac:dyDescent="0.3">
      <c r="B78" s="36" t="s">
        <v>42</v>
      </c>
      <c r="C78" s="33" t="s">
        <v>43</v>
      </c>
      <c r="D78" s="29">
        <f>D77+D76</f>
        <v>13</v>
      </c>
      <c r="F78" s="30"/>
      <c r="G78" s="37" t="s">
        <v>47</v>
      </c>
      <c r="H78" s="38">
        <f>(16*D79-29)/90</f>
        <v>3.2333333333333334</v>
      </c>
    </row>
    <row r="79" spans="2:12" x14ac:dyDescent="0.25">
      <c r="B79" s="33" t="s">
        <v>44</v>
      </c>
      <c r="C79" s="33" t="s">
        <v>45</v>
      </c>
      <c r="D79" s="29">
        <v>20</v>
      </c>
      <c r="F79" s="30"/>
      <c r="G79" s="30"/>
      <c r="H79" s="30"/>
    </row>
    <row r="80" spans="2:12" x14ac:dyDescent="0.25">
      <c r="E80" s="39"/>
      <c r="F80" s="39"/>
      <c r="G80" s="39"/>
      <c r="H80" s="39"/>
      <c r="I80" s="39"/>
      <c r="J80" s="39"/>
      <c r="K80" s="40"/>
      <c r="L80" s="40"/>
    </row>
    <row r="81" spans="1:12" x14ac:dyDescent="0.25">
      <c r="A81" s="30"/>
      <c r="B81" s="30"/>
      <c r="C81" s="30"/>
      <c r="D81" s="30"/>
      <c r="E81" s="30"/>
      <c r="F81" s="40"/>
      <c r="G81" s="40"/>
      <c r="H81" s="40"/>
      <c r="I81" s="40"/>
      <c r="J81" s="40"/>
      <c r="K81" s="40"/>
      <c r="L81" s="40"/>
    </row>
    <row r="82" spans="1:12" x14ac:dyDescent="0.25">
      <c r="A82" s="30"/>
      <c r="B82" s="30"/>
      <c r="C82" s="30"/>
      <c r="D82" s="30"/>
      <c r="E82" s="30"/>
      <c r="F82" s="40"/>
      <c r="G82" s="40"/>
      <c r="H82" s="40"/>
      <c r="I82" s="40"/>
      <c r="J82" s="40"/>
      <c r="K82" s="40"/>
      <c r="L82" s="40"/>
    </row>
    <row r="83" spans="1:12" x14ac:dyDescent="0.25">
      <c r="A83" s="41" t="s">
        <v>48</v>
      </c>
      <c r="B83" s="30"/>
      <c r="C83" s="30"/>
      <c r="D83" s="42" t="s">
        <v>49</v>
      </c>
      <c r="E83" s="43">
        <f>(D78-H76)/(H78)</f>
        <v>0</v>
      </c>
      <c r="F83" s="40"/>
      <c r="G83" s="40"/>
      <c r="H83" s="40"/>
      <c r="I83" s="40"/>
      <c r="J83" s="40"/>
      <c r="K83" s="40"/>
      <c r="L83" s="40"/>
    </row>
    <row r="84" spans="1:12" x14ac:dyDescent="0.25">
      <c r="A84" s="30"/>
      <c r="B84" s="30"/>
      <c r="C84" s="30"/>
      <c r="D84" s="30"/>
      <c r="E84" s="30"/>
      <c r="F84" s="40"/>
      <c r="G84" s="40"/>
      <c r="H84" s="40"/>
      <c r="I84" s="40"/>
      <c r="J84" s="40"/>
      <c r="K84" s="40"/>
      <c r="L84" s="40"/>
    </row>
    <row r="85" spans="1:12" x14ac:dyDescent="0.25">
      <c r="A85" s="30"/>
      <c r="B85" s="30"/>
      <c r="C85" s="30"/>
      <c r="D85" s="30"/>
      <c r="E85" s="30"/>
      <c r="F85" s="40"/>
      <c r="G85" s="40"/>
      <c r="H85" s="40"/>
      <c r="I85" s="40"/>
      <c r="J85" s="40"/>
      <c r="K85" s="40"/>
      <c r="L85" s="40"/>
    </row>
    <row r="86" spans="1:12" x14ac:dyDescent="0.25">
      <c r="A86" s="41" t="s">
        <v>50</v>
      </c>
      <c r="B86" s="30"/>
      <c r="C86" s="30"/>
      <c r="D86" s="30"/>
      <c r="E86" s="198" t="s">
        <v>51</v>
      </c>
      <c r="F86" s="198"/>
      <c r="G86" s="198"/>
      <c r="H86" s="198"/>
      <c r="I86" s="198"/>
      <c r="J86" s="198"/>
      <c r="K86" s="198"/>
      <c r="L86" s="198"/>
    </row>
    <row r="87" spans="1:12" x14ac:dyDescent="0.25">
      <c r="A87" s="30"/>
      <c r="B87" s="30"/>
      <c r="C87" s="30"/>
      <c r="D87" s="30"/>
      <c r="E87" s="198"/>
      <c r="F87" s="198"/>
      <c r="G87" s="198"/>
      <c r="H87" s="198"/>
      <c r="I87" s="198"/>
      <c r="J87" s="198"/>
      <c r="K87" s="198"/>
      <c r="L87" s="198"/>
    </row>
    <row r="88" spans="1:12" x14ac:dyDescent="0.2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</row>
    <row r="89" spans="1:12" x14ac:dyDescent="0.25">
      <c r="A89" s="40"/>
      <c r="B89" s="44" t="s">
        <v>52</v>
      </c>
      <c r="C89" s="40"/>
      <c r="D89" s="40"/>
      <c r="E89" s="40"/>
      <c r="F89" s="40"/>
      <c r="G89" s="40"/>
      <c r="H89" s="40"/>
      <c r="I89" s="40"/>
      <c r="J89" s="40"/>
      <c r="K89" s="40"/>
      <c r="L89" s="40"/>
    </row>
    <row r="90" spans="1:12" ht="15.75" thickBot="1" x14ac:dyDescent="0.3"/>
    <row r="91" spans="1:12" ht="21" thickBot="1" x14ac:dyDescent="0.3">
      <c r="B91" s="45" t="str">
        <f>IF(B63&lt;0.5,"-","+")</f>
        <v>+</v>
      </c>
      <c r="C91" s="46" t="str">
        <f t="shared" ref="C91:E91" si="8">IF(C63&lt;0.5,"-","+")</f>
        <v>-</v>
      </c>
      <c r="D91" s="45" t="str">
        <f t="shared" si="8"/>
        <v>+</v>
      </c>
      <c r="E91" s="45" t="str">
        <f t="shared" si="8"/>
        <v>+</v>
      </c>
      <c r="F91" s="46" t="str">
        <f>IF(F63&lt;0.5,"-","+")</f>
        <v>-</v>
      </c>
      <c r="G91" s="47"/>
      <c r="H91" s="47"/>
      <c r="I91" s="47"/>
      <c r="J91" s="47"/>
      <c r="K91" s="47"/>
    </row>
    <row r="92" spans="1:12" ht="21.75" thickTop="1" thickBot="1" x14ac:dyDescent="0.3">
      <c r="B92" s="46" t="str">
        <f t="shared" ref="B92:F92" si="9">IF(B64&lt;0.5,"-","+")</f>
        <v>-</v>
      </c>
      <c r="C92" s="45" t="str">
        <f t="shared" si="9"/>
        <v>+</v>
      </c>
      <c r="D92" s="46" t="str">
        <f t="shared" si="9"/>
        <v>-</v>
      </c>
      <c r="E92" s="45" t="str">
        <f>IF(E64&lt;0.5,"-","+")</f>
        <v>+</v>
      </c>
      <c r="F92" s="46" t="str">
        <f t="shared" si="9"/>
        <v>-</v>
      </c>
      <c r="G92" s="47"/>
      <c r="H92" s="47"/>
      <c r="I92" s="47"/>
      <c r="J92" s="47"/>
      <c r="K92" s="47"/>
    </row>
    <row r="93" spans="1:12" ht="21.75" thickTop="1" thickBot="1" x14ac:dyDescent="0.3">
      <c r="B93" s="46" t="str">
        <f t="shared" ref="B93:F94" si="10">IF(B65&lt;0.5,"-","+")</f>
        <v>-</v>
      </c>
      <c r="C93" s="45" t="str">
        <f t="shared" si="10"/>
        <v>+</v>
      </c>
      <c r="D93" s="45" t="str">
        <f t="shared" si="10"/>
        <v>+</v>
      </c>
      <c r="E93" s="46" t="str">
        <f t="shared" si="10"/>
        <v>-</v>
      </c>
      <c r="F93" s="45" t="str">
        <f t="shared" si="10"/>
        <v>+</v>
      </c>
      <c r="G93" s="47"/>
      <c r="H93" s="47"/>
      <c r="I93" s="47"/>
      <c r="J93" s="47"/>
      <c r="K93" s="47"/>
      <c r="L93" s="40"/>
    </row>
    <row r="94" spans="1:12" ht="21.75" thickTop="1" thickBot="1" x14ac:dyDescent="0.3">
      <c r="A94" s="40"/>
      <c r="B94" s="46" t="str">
        <f t="shared" si="10"/>
        <v>-</v>
      </c>
      <c r="C94" s="45" t="str">
        <f t="shared" si="10"/>
        <v>+</v>
      </c>
      <c r="D94" s="45" t="str">
        <f t="shared" si="10"/>
        <v>+</v>
      </c>
      <c r="E94" s="46" t="str">
        <f t="shared" si="10"/>
        <v>-</v>
      </c>
      <c r="F94" s="46" t="str">
        <f>IF(F66&lt;0.5,"-","+")</f>
        <v>-</v>
      </c>
      <c r="G94" s="40"/>
      <c r="H94" s="40"/>
      <c r="I94" s="40"/>
      <c r="J94" s="40"/>
      <c r="K94" s="40"/>
      <c r="L94" s="40"/>
    </row>
    <row r="95" spans="1:12" ht="15.75" thickTop="1" x14ac:dyDescent="0.25">
      <c r="A95" s="40"/>
      <c r="B95" s="40" t="s">
        <v>59</v>
      </c>
      <c r="C95" s="40"/>
      <c r="D95" s="40"/>
      <c r="E95" s="40"/>
      <c r="F95" s="40"/>
      <c r="G95" s="40"/>
      <c r="H95" s="40"/>
      <c r="I95" s="40"/>
      <c r="J95" s="40"/>
      <c r="K95" s="40"/>
    </row>
    <row r="96" spans="1:12" ht="15.75" thickBot="1" x14ac:dyDescent="0.3">
      <c r="A96" s="40" t="s">
        <v>53</v>
      </c>
      <c r="B96" s="40"/>
      <c r="C96" s="40"/>
      <c r="D96" s="40"/>
      <c r="E96" s="40"/>
      <c r="F96" s="40"/>
      <c r="G96" s="40"/>
      <c r="H96" s="40"/>
      <c r="I96" s="40"/>
      <c r="J96" s="40"/>
      <c r="K96" s="40"/>
    </row>
    <row r="97" spans="1:13" x14ac:dyDescent="0.25">
      <c r="A97" s="25" t="s">
        <v>54</v>
      </c>
      <c r="B97" s="16">
        <f>COUNTIF($B$91:$F$94,"+")</f>
        <v>10</v>
      </c>
      <c r="C97" s="30"/>
      <c r="D97" s="30"/>
      <c r="E97" s="30"/>
      <c r="F97" s="30"/>
      <c r="G97" s="48" t="s">
        <v>55</v>
      </c>
      <c r="H97" s="49">
        <f>((2*B97*B98)/(B99))+0.5</f>
        <v>10.5</v>
      </c>
      <c r="I97" s="40"/>
      <c r="J97" s="40"/>
      <c r="K97" s="40"/>
    </row>
    <row r="98" spans="1:13" x14ac:dyDescent="0.25">
      <c r="A98" s="25" t="s">
        <v>56</v>
      </c>
      <c r="B98" s="16">
        <f>COUNTIF($B$91:$F$94,"-")</f>
        <v>10</v>
      </c>
      <c r="C98" s="30"/>
      <c r="D98" s="30"/>
      <c r="E98" s="30"/>
      <c r="F98" s="30"/>
      <c r="G98" s="199"/>
      <c r="H98" s="200"/>
      <c r="I98" s="40"/>
      <c r="J98" s="40"/>
      <c r="K98" s="40"/>
    </row>
    <row r="99" spans="1:13" ht="15.75" thickBot="1" x14ac:dyDescent="0.3">
      <c r="A99" s="33" t="s">
        <v>57</v>
      </c>
      <c r="B99" s="29">
        <f>B98+B97</f>
        <v>20</v>
      </c>
      <c r="C99" s="30"/>
      <c r="D99" s="30"/>
      <c r="E99" s="30"/>
      <c r="F99" s="30"/>
      <c r="G99" s="50" t="s">
        <v>58</v>
      </c>
      <c r="H99" s="51">
        <f>(2*B97*B98*(2*B97*B98-B99))/(((B99)^2)*(B99-1))</f>
        <v>4.7368421052631575</v>
      </c>
      <c r="I99" s="40"/>
      <c r="J99" s="40"/>
      <c r="K99" s="40"/>
    </row>
    <row r="100" spans="1:13" x14ac:dyDescent="0.25">
      <c r="A100" s="30"/>
      <c r="B100" s="30"/>
      <c r="C100" s="30"/>
      <c r="D100" s="30"/>
      <c r="E100" s="30"/>
      <c r="F100" s="40"/>
      <c r="G100" s="40"/>
      <c r="H100" s="40"/>
      <c r="I100" s="40"/>
      <c r="J100" s="40"/>
      <c r="K100" s="40"/>
    </row>
    <row r="101" spans="1:13" x14ac:dyDescent="0.2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</row>
    <row r="102" spans="1:13" x14ac:dyDescent="0.2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</row>
    <row r="103" spans="1:13" x14ac:dyDescent="0.25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</row>
    <row r="104" spans="1:13" x14ac:dyDescent="0.25">
      <c r="A104" s="41" t="s">
        <v>48</v>
      </c>
      <c r="B104" s="30"/>
      <c r="C104" s="30"/>
      <c r="D104" s="42" t="s">
        <v>49</v>
      </c>
      <c r="E104" s="52">
        <f>(B99-H97)/(H99)</f>
        <v>2.0055555555555555</v>
      </c>
      <c r="F104" s="40"/>
      <c r="G104" s="40"/>
      <c r="H104" s="40"/>
      <c r="I104" s="40"/>
      <c r="J104" s="40"/>
      <c r="K104" s="40"/>
      <c r="L104" s="40"/>
    </row>
    <row r="105" spans="1:13" x14ac:dyDescent="0.25">
      <c r="A105" s="30"/>
      <c r="B105" s="30"/>
      <c r="C105" s="30"/>
      <c r="D105" s="30"/>
      <c r="E105" s="30"/>
      <c r="F105" s="40"/>
      <c r="G105" s="40"/>
      <c r="H105" s="40"/>
      <c r="I105" s="40"/>
      <c r="J105" s="40"/>
      <c r="K105" s="40"/>
      <c r="L105" s="40"/>
    </row>
    <row r="106" spans="1:13" x14ac:dyDescent="0.25">
      <c r="A106" s="30"/>
      <c r="B106" s="30"/>
      <c r="C106" s="30"/>
      <c r="D106" s="30"/>
      <c r="E106" s="30"/>
      <c r="F106" s="40"/>
      <c r="G106" s="40"/>
      <c r="H106" s="40"/>
      <c r="I106" s="40"/>
      <c r="J106" s="40"/>
      <c r="K106" s="40"/>
      <c r="L106" s="40"/>
    </row>
    <row r="107" spans="1:13" x14ac:dyDescent="0.25">
      <c r="A107" s="41" t="s">
        <v>50</v>
      </c>
      <c r="B107" s="30"/>
      <c r="C107" s="30"/>
      <c r="D107" s="30"/>
      <c r="E107" s="188" t="s">
        <v>76</v>
      </c>
      <c r="F107" s="188"/>
      <c r="G107" s="188"/>
      <c r="H107" s="188"/>
      <c r="I107" s="188"/>
      <c r="J107" s="188"/>
      <c r="K107" s="188"/>
      <c r="L107" s="188"/>
    </row>
    <row r="108" spans="1:13" x14ac:dyDescent="0.25">
      <c r="A108" s="30"/>
      <c r="B108" s="30"/>
      <c r="C108" s="30"/>
      <c r="D108" s="30"/>
      <c r="E108" s="188"/>
      <c r="F108" s="188"/>
      <c r="G108" s="188"/>
      <c r="H108" s="188"/>
      <c r="I108" s="188"/>
      <c r="J108" s="188"/>
      <c r="K108" s="188"/>
      <c r="L108" s="188"/>
    </row>
    <row r="109" spans="1:13" x14ac:dyDescent="0.25">
      <c r="G109" s="2"/>
    </row>
    <row r="111" spans="1:13" x14ac:dyDescent="0.25">
      <c r="B111" s="30"/>
      <c r="C111" s="30"/>
      <c r="D111" s="30"/>
      <c r="E111" s="30"/>
      <c r="F111" s="30"/>
      <c r="G111" s="41"/>
      <c r="H111" s="16" t="s">
        <v>11</v>
      </c>
      <c r="I111" s="16">
        <v>0</v>
      </c>
      <c r="K111" s="2">
        <f ca="1">COUNT(H116:H150)</f>
        <v>16</v>
      </c>
      <c r="L111" s="2" t="s">
        <v>77</v>
      </c>
    </row>
    <row r="112" spans="1:13" x14ac:dyDescent="0.25">
      <c r="A112" s="1" t="s">
        <v>60</v>
      </c>
      <c r="B112" s="30"/>
      <c r="C112" s="30"/>
      <c r="D112" s="30"/>
      <c r="E112" s="30"/>
      <c r="F112" s="30"/>
      <c r="G112" s="41"/>
      <c r="H112" s="16" t="s">
        <v>12</v>
      </c>
      <c r="I112" s="16">
        <v>8</v>
      </c>
    </row>
    <row r="113" spans="1:14" x14ac:dyDescent="0.25">
      <c r="A113" s="2" t="s">
        <v>68</v>
      </c>
      <c r="B113" s="30"/>
      <c r="C113" s="30"/>
      <c r="D113" s="30"/>
      <c r="E113" s="30"/>
      <c r="F113" s="30"/>
      <c r="G113" s="41"/>
    </row>
    <row r="114" spans="1:14" ht="15.75" thickBot="1" x14ac:dyDescent="0.3">
      <c r="A114" s="2" t="s">
        <v>72</v>
      </c>
      <c r="B114" s="30"/>
      <c r="C114" s="30"/>
      <c r="D114" s="30"/>
      <c r="E114" s="30"/>
      <c r="F114" s="30"/>
      <c r="G114" s="41"/>
    </row>
    <row r="115" spans="1:14" ht="15.75" thickBot="1" x14ac:dyDescent="0.3">
      <c r="B115" s="64" t="s">
        <v>61</v>
      </c>
      <c r="C115" s="65" t="s">
        <v>64</v>
      </c>
      <c r="D115" s="65" t="s">
        <v>62</v>
      </c>
      <c r="E115" s="65" t="s">
        <v>63</v>
      </c>
      <c r="F115" s="65" t="s">
        <v>65</v>
      </c>
      <c r="G115" s="65" t="s">
        <v>66</v>
      </c>
      <c r="H115" s="66" t="s">
        <v>67</v>
      </c>
      <c r="I115" s="53" t="s">
        <v>70</v>
      </c>
      <c r="J115" s="63" t="s">
        <v>71</v>
      </c>
      <c r="K115" s="48" t="s">
        <v>69</v>
      </c>
      <c r="L115" s="71"/>
      <c r="M115" s="72" t="s">
        <v>1</v>
      </c>
      <c r="N115" s="73" t="s">
        <v>74</v>
      </c>
    </row>
    <row r="116" spans="1:14" x14ac:dyDescent="0.25">
      <c r="B116" s="67">
        <v>1</v>
      </c>
      <c r="C116" s="68">
        <f ca="1">RAND()</f>
        <v>0.14319571956184107</v>
      </c>
      <c r="D116" s="68">
        <f ca="1">$I$111+($I$112-$I$111)*C116</f>
        <v>1.1455657564947286</v>
      </c>
      <c r="E116" s="68">
        <f ca="1">RAND()</f>
        <v>0.84494767612734079</v>
      </c>
      <c r="F116" s="68">
        <f ca="1">$I$111+($I$112-$I$111)*E116</f>
        <v>6.7595814090187263</v>
      </c>
      <c r="G116" s="69">
        <f ca="1">MIN(D116,F116)</f>
        <v>1.1455657564947286</v>
      </c>
      <c r="H116" s="70">
        <f ca="1">G116</f>
        <v>1.1455657564947286</v>
      </c>
      <c r="I116" s="189">
        <f ca="1">AVERAGE(G116:G150)</f>
        <v>2.8789714740626082</v>
      </c>
      <c r="J116" s="74">
        <f ca="1">($I$116-H116)^2</f>
        <v>3.0046953816970157</v>
      </c>
      <c r="K116" s="192">
        <f ca="1">SQRT(SUM(J116:J150)/((COUNT(J116:J150)-1)))</f>
        <v>25.323717143755726</v>
      </c>
      <c r="L116" s="195">
        <f ca="1">_xlfn.IFS(K111&lt;=14,1.8,K111&gt;=15,1.7 )</f>
        <v>1.7</v>
      </c>
      <c r="M116" s="201">
        <f ca="1">I116-(L116*K116/SQRT(K111))</f>
        <v>-7.8836083120335747</v>
      </c>
      <c r="N116" s="203">
        <f ca="1">I116+(K116*L116/SQRT(K111))</f>
        <v>13.64155126015879</v>
      </c>
    </row>
    <row r="117" spans="1:14" x14ac:dyDescent="0.25">
      <c r="B117" s="54">
        <v>2</v>
      </c>
      <c r="C117" s="55">
        <f t="shared" ref="C117:C131" ca="1" si="11">RAND()</f>
        <v>0.42605297302782363</v>
      </c>
      <c r="D117" s="55">
        <f t="shared" ref="D117:D131" ca="1" si="12">$I$111+($I$112-$I$111)*C117</f>
        <v>3.4084237842225891</v>
      </c>
      <c r="E117" s="55">
        <f t="shared" ref="E117:E131" ca="1" si="13">RAND()</f>
        <v>0.5090991886090257</v>
      </c>
      <c r="F117" s="55">
        <f t="shared" ref="F117:F131" ca="1" si="14">$I$111+($I$112-$I$111)*E117</f>
        <v>4.0727935088722056</v>
      </c>
      <c r="G117" s="56">
        <f t="shared" ref="G117:G122" ca="1" si="15">MIN(D117,F117)</f>
        <v>3.4084237842225891</v>
      </c>
      <c r="H117" s="57">
        <f ca="1">G117+H116</f>
        <v>4.5539895407173177</v>
      </c>
      <c r="I117" s="190"/>
      <c r="J117" s="75">
        <f t="shared" ref="J117:J131" ca="1" si="16">($I$116-H117)^2</f>
        <v>2.8056855236196805</v>
      </c>
      <c r="K117" s="193"/>
      <c r="L117" s="195"/>
      <c r="M117" s="201"/>
      <c r="N117" s="203"/>
    </row>
    <row r="118" spans="1:14" x14ac:dyDescent="0.25">
      <c r="B118" s="54">
        <v>3</v>
      </c>
      <c r="C118" s="55">
        <f t="shared" ca="1" si="11"/>
        <v>0.35789323295043529</v>
      </c>
      <c r="D118" s="55">
        <f t="shared" ca="1" si="12"/>
        <v>2.8631458636034823</v>
      </c>
      <c r="E118" s="55">
        <f t="shared" ca="1" si="13"/>
        <v>0.61945074587676252</v>
      </c>
      <c r="F118" s="55">
        <f t="shared" ca="1" si="14"/>
        <v>4.9556059670141002</v>
      </c>
      <c r="G118" s="56">
        <f t="shared" ca="1" si="15"/>
        <v>2.8631458636034823</v>
      </c>
      <c r="H118" s="57">
        <f ca="1">G118+H117</f>
        <v>7.4171354043208</v>
      </c>
      <c r="I118" s="190"/>
      <c r="J118" s="75">
        <f t="shared" ca="1" si="16"/>
        <v>20.594931857896473</v>
      </c>
      <c r="K118" s="193"/>
      <c r="L118" s="195"/>
      <c r="M118" s="201"/>
      <c r="N118" s="203"/>
    </row>
    <row r="119" spans="1:14" x14ac:dyDescent="0.25">
      <c r="B119" s="54">
        <v>4</v>
      </c>
      <c r="C119" s="55">
        <f t="shared" ca="1" si="11"/>
        <v>0.11180941186793514</v>
      </c>
      <c r="D119" s="55">
        <f t="shared" ca="1" si="12"/>
        <v>0.8944752949434811</v>
      </c>
      <c r="E119" s="55">
        <f t="shared" ca="1" si="13"/>
        <v>0.28728930180311474</v>
      </c>
      <c r="F119" s="55">
        <f t="shared" ca="1" si="14"/>
        <v>2.2983144144249179</v>
      </c>
      <c r="G119" s="56">
        <f t="shared" ca="1" si="15"/>
        <v>0.8944752949434811</v>
      </c>
      <c r="H119" s="57">
        <f ca="1">G119+H118</f>
        <v>8.311610699264282</v>
      </c>
      <c r="I119" s="190"/>
      <c r="J119" s="75">
        <f t="shared" ca="1" si="16"/>
        <v>29.513568951199847</v>
      </c>
      <c r="K119" s="193"/>
      <c r="L119" s="195"/>
      <c r="M119" s="201"/>
      <c r="N119" s="203"/>
    </row>
    <row r="120" spans="1:14" x14ac:dyDescent="0.25">
      <c r="B120" s="54">
        <v>5</v>
      </c>
      <c r="C120" s="55">
        <f t="shared" ca="1" si="11"/>
        <v>0.47156941106387462</v>
      </c>
      <c r="D120" s="55">
        <f t="shared" ca="1" si="12"/>
        <v>3.772555288510997</v>
      </c>
      <c r="E120" s="55">
        <f t="shared" ca="1" si="13"/>
        <v>0.22008040733664247</v>
      </c>
      <c r="F120" s="55">
        <f t="shared" ca="1" si="14"/>
        <v>1.7606432586931398</v>
      </c>
      <c r="G120" s="56">
        <f ca="1">MIN(D120,F120)</f>
        <v>1.7606432586931398</v>
      </c>
      <c r="H120" s="57">
        <f t="shared" ref="H120:H122" ca="1" si="17">G120+H119</f>
        <v>10.072253957957422</v>
      </c>
      <c r="I120" s="190"/>
      <c r="J120" s="75">
        <f t="shared" ca="1" si="16"/>
        <v>51.743312893107941</v>
      </c>
      <c r="K120" s="193"/>
      <c r="L120" s="195"/>
      <c r="M120" s="201"/>
      <c r="N120" s="203"/>
    </row>
    <row r="121" spans="1:14" x14ac:dyDescent="0.25">
      <c r="B121" s="54">
        <v>6</v>
      </c>
      <c r="C121" s="55">
        <f t="shared" ca="1" si="11"/>
        <v>0.75194921445511842</v>
      </c>
      <c r="D121" s="55">
        <f t="shared" ca="1" si="12"/>
        <v>6.0155937156409474</v>
      </c>
      <c r="E121" s="55">
        <f t="shared" ca="1" si="13"/>
        <v>0.68143237893791497</v>
      </c>
      <c r="F121" s="55">
        <f t="shared" ca="1" si="14"/>
        <v>5.4514590315033198</v>
      </c>
      <c r="G121" s="56">
        <f ca="1">MIN(D121,F121)</f>
        <v>5.4514590315033198</v>
      </c>
      <c r="H121" s="57">
        <f t="shared" ca="1" si="17"/>
        <v>15.523712989460741</v>
      </c>
      <c r="I121" s="190"/>
      <c r="J121" s="75">
        <f t="shared" ca="1" si="16"/>
        <v>159.88948799123307</v>
      </c>
      <c r="K121" s="193"/>
      <c r="L121" s="195"/>
      <c r="M121" s="201"/>
      <c r="N121" s="203"/>
    </row>
    <row r="122" spans="1:14" x14ac:dyDescent="0.25">
      <c r="B122" s="54">
        <v>7</v>
      </c>
      <c r="C122" s="55">
        <f t="shared" ca="1" si="11"/>
        <v>0.65469702317134726</v>
      </c>
      <c r="D122" s="55">
        <f t="shared" ca="1" si="12"/>
        <v>5.2375761853707781</v>
      </c>
      <c r="E122" s="55">
        <f t="shared" ca="1" si="13"/>
        <v>0.49852567676679183</v>
      </c>
      <c r="F122" s="55">
        <f t="shared" ca="1" si="14"/>
        <v>3.9882054141343346</v>
      </c>
      <c r="G122" s="56">
        <f t="shared" ca="1" si="15"/>
        <v>3.9882054141343346</v>
      </c>
      <c r="H122" s="57">
        <f t="shared" ca="1" si="17"/>
        <v>19.511918403595075</v>
      </c>
      <c r="I122" s="190"/>
      <c r="J122" s="75">
        <f t="shared" ca="1" si="16"/>
        <v>276.65492356064345</v>
      </c>
      <c r="K122" s="193"/>
      <c r="L122" s="195"/>
      <c r="M122" s="201"/>
      <c r="N122" s="203"/>
    </row>
    <row r="123" spans="1:14" x14ac:dyDescent="0.25">
      <c r="B123" s="54">
        <v>8</v>
      </c>
      <c r="C123" s="55">
        <f t="shared" ca="1" si="11"/>
        <v>7.4560585823123526E-2</v>
      </c>
      <c r="D123" s="55">
        <f t="shared" ca="1" si="12"/>
        <v>0.59648468658498821</v>
      </c>
      <c r="E123" s="55">
        <f t="shared" ca="1" si="13"/>
        <v>0.92611882207277263</v>
      </c>
      <c r="F123" s="55">
        <f t="shared" ca="1" si="14"/>
        <v>7.408950576582181</v>
      </c>
      <c r="G123" s="56">
        <f t="shared" ref="G123:G129" ca="1" si="18">MIN(D123,F123)</f>
        <v>0.59648468658498821</v>
      </c>
      <c r="H123" s="57">
        <f t="shared" ref="H123:H129" ca="1" si="19">G123+H122</f>
        <v>20.108403090180062</v>
      </c>
      <c r="I123" s="190"/>
      <c r="J123" s="75">
        <f t="shared" ca="1" si="16"/>
        <v>296.85331381446764</v>
      </c>
      <c r="K123" s="193"/>
      <c r="L123" s="195"/>
      <c r="M123" s="201"/>
      <c r="N123" s="203"/>
    </row>
    <row r="124" spans="1:14" x14ac:dyDescent="0.25">
      <c r="B124" s="54">
        <v>9</v>
      </c>
      <c r="C124" s="55">
        <f t="shared" ca="1" si="11"/>
        <v>0.62552808842126761</v>
      </c>
      <c r="D124" s="55">
        <f t="shared" ca="1" si="12"/>
        <v>5.0042247073701409</v>
      </c>
      <c r="E124" s="55">
        <f t="shared" ca="1" si="13"/>
        <v>0.8931893665531454</v>
      </c>
      <c r="F124" s="55">
        <f t="shared" ca="1" si="14"/>
        <v>7.1455149324251632</v>
      </c>
      <c r="G124" s="56">
        <f t="shared" ca="1" si="18"/>
        <v>5.0042247073701409</v>
      </c>
      <c r="H124" s="57">
        <f t="shared" ca="1" si="19"/>
        <v>25.112627797550203</v>
      </c>
      <c r="I124" s="190"/>
      <c r="J124" s="75">
        <f t="shared" ca="1" si="16"/>
        <v>494.33547351095984</v>
      </c>
      <c r="K124" s="193"/>
      <c r="L124" s="195"/>
      <c r="M124" s="201"/>
      <c r="N124" s="203"/>
    </row>
    <row r="125" spans="1:14" x14ac:dyDescent="0.25">
      <c r="B125" s="54">
        <v>10</v>
      </c>
      <c r="C125" s="55">
        <f t="shared" ca="1" si="11"/>
        <v>0.22504467298049824</v>
      </c>
      <c r="D125" s="55">
        <f t="shared" ca="1" si="12"/>
        <v>1.8003573838439859</v>
      </c>
      <c r="E125" s="55">
        <f t="shared" ca="1" si="13"/>
        <v>0.47166577908951135</v>
      </c>
      <c r="F125" s="55">
        <f t="shared" ca="1" si="14"/>
        <v>3.7733262327160908</v>
      </c>
      <c r="G125" s="56">
        <f t="shared" ca="1" si="18"/>
        <v>1.8003573838439859</v>
      </c>
      <c r="H125" s="57">
        <f t="shared" ca="1" si="19"/>
        <v>26.912985181394191</v>
      </c>
      <c r="I125" s="190"/>
      <c r="J125" s="75">
        <f t="shared" ca="1" si="16"/>
        <v>577.63381488420237</v>
      </c>
      <c r="K125" s="193"/>
      <c r="L125" s="195"/>
      <c r="M125" s="201"/>
      <c r="N125" s="203"/>
    </row>
    <row r="126" spans="1:14" x14ac:dyDescent="0.25">
      <c r="B126" s="54">
        <v>11</v>
      </c>
      <c r="C126" s="55">
        <f t="shared" ca="1" si="11"/>
        <v>0.34313279853828105</v>
      </c>
      <c r="D126" s="55">
        <f t="shared" ca="1" si="12"/>
        <v>2.7450623883062484</v>
      </c>
      <c r="E126" s="55">
        <f t="shared" ca="1" si="13"/>
        <v>0.65810343359438639</v>
      </c>
      <c r="F126" s="55">
        <f t="shared" ca="1" si="14"/>
        <v>5.2648274687550911</v>
      </c>
      <c r="G126" s="56">
        <f t="shared" ca="1" si="18"/>
        <v>2.7450623883062484</v>
      </c>
      <c r="H126" s="57">
        <f t="shared" ca="1" si="19"/>
        <v>29.65804756970044</v>
      </c>
      <c r="I126" s="190"/>
      <c r="J126" s="75">
        <f t="shared" ca="1" si="16"/>
        <v>717.11891653596149</v>
      </c>
      <c r="K126" s="193"/>
      <c r="L126" s="195"/>
      <c r="M126" s="201"/>
      <c r="N126" s="203"/>
    </row>
    <row r="127" spans="1:14" x14ac:dyDescent="0.25">
      <c r="B127" s="54">
        <v>12</v>
      </c>
      <c r="C127" s="55">
        <f t="shared" ca="1" si="11"/>
        <v>0.50862229728739061</v>
      </c>
      <c r="D127" s="55">
        <f t="shared" ca="1" si="12"/>
        <v>4.0689783782991249</v>
      </c>
      <c r="E127" s="55">
        <f t="shared" ca="1" si="13"/>
        <v>0.98921955758972857</v>
      </c>
      <c r="F127" s="55">
        <f t="shared" ca="1" si="14"/>
        <v>7.9137564607178286</v>
      </c>
      <c r="G127" s="56">
        <f t="shared" ca="1" si="18"/>
        <v>4.0689783782991249</v>
      </c>
      <c r="H127" s="57">
        <f t="shared" ca="1" si="19"/>
        <v>33.727025947999564</v>
      </c>
      <c r="I127" s="190"/>
      <c r="J127" s="75">
        <f t="shared" ca="1" si="16"/>
        <v>951.60246482698176</v>
      </c>
      <c r="K127" s="193"/>
      <c r="L127" s="195"/>
      <c r="M127" s="201"/>
      <c r="N127" s="203"/>
    </row>
    <row r="128" spans="1:14" x14ac:dyDescent="0.25">
      <c r="B128" s="54">
        <v>13</v>
      </c>
      <c r="C128" s="55">
        <f t="shared" ca="1" si="11"/>
        <v>0.88118077575982057</v>
      </c>
      <c r="D128" s="55">
        <f t="shared" ca="1" si="12"/>
        <v>7.0494462060785645</v>
      </c>
      <c r="E128" s="55">
        <f t="shared" ca="1" si="13"/>
        <v>0.20705124295647748</v>
      </c>
      <c r="F128" s="55">
        <f t="shared" ca="1" si="14"/>
        <v>1.6564099436518198</v>
      </c>
      <c r="G128" s="56">
        <f t="shared" ca="1" si="18"/>
        <v>1.6564099436518198</v>
      </c>
      <c r="H128" s="57">
        <f t="shared" ca="1" si="19"/>
        <v>35.383435891651388</v>
      </c>
      <c r="I128" s="190"/>
      <c r="J128" s="75">
        <f t="shared" ca="1" si="16"/>
        <v>1056.540207074295</v>
      </c>
      <c r="K128" s="193"/>
      <c r="L128" s="195"/>
      <c r="M128" s="201"/>
      <c r="N128" s="203"/>
    </row>
    <row r="129" spans="1:14" ht="15.75" thickBot="1" x14ac:dyDescent="0.3">
      <c r="B129" s="54">
        <v>14</v>
      </c>
      <c r="C129" s="55">
        <f t="shared" ca="1" si="11"/>
        <v>0.7323313936657474</v>
      </c>
      <c r="D129" s="55">
        <f t="shared" ca="1" si="12"/>
        <v>5.8586511493259792</v>
      </c>
      <c r="E129" s="55">
        <f t="shared" ca="1" si="13"/>
        <v>0.46053646874996812</v>
      </c>
      <c r="F129" s="55">
        <f t="shared" ca="1" si="14"/>
        <v>3.684291749999745</v>
      </c>
      <c r="G129" s="56">
        <f t="shared" ca="1" si="18"/>
        <v>3.684291749999745</v>
      </c>
      <c r="H129" s="57">
        <f t="shared" ca="1" si="19"/>
        <v>39.067727641651132</v>
      </c>
      <c r="I129" s="191"/>
      <c r="J129" s="75">
        <f t="shared" ca="1" si="16"/>
        <v>1309.6260729571763</v>
      </c>
      <c r="K129" s="194"/>
      <c r="L129" s="196"/>
      <c r="M129" s="202"/>
      <c r="N129" s="204"/>
    </row>
    <row r="130" spans="1:14" x14ac:dyDescent="0.25">
      <c r="B130" s="54">
        <v>15</v>
      </c>
      <c r="C130" s="55">
        <f t="shared" ca="1" si="11"/>
        <v>0.78932547934004715</v>
      </c>
      <c r="D130" s="55">
        <f t="shared" ca="1" si="12"/>
        <v>6.3146038347203772</v>
      </c>
      <c r="E130" s="55">
        <f t="shared" ca="1" si="13"/>
        <v>0.89351101012653089</v>
      </c>
      <c r="F130" s="55">
        <f t="shared" ca="1" si="14"/>
        <v>7.1480880810122471</v>
      </c>
      <c r="G130" s="56">
        <f t="shared" ref="G130:G131" ca="1" si="20">MIN(D130,F130)</f>
        <v>6.3146038347203772</v>
      </c>
      <c r="H130" s="57">
        <f t="shared" ref="H130:H131" ca="1" si="21">G130+H129</f>
        <v>45.382331476371512</v>
      </c>
      <c r="J130" s="75">
        <f t="shared" ca="1" si="16"/>
        <v>1806.5356114858721</v>
      </c>
    </row>
    <row r="131" spans="1:14" x14ac:dyDescent="0.25">
      <c r="B131" s="54">
        <v>16</v>
      </c>
      <c r="C131" s="55">
        <f t="shared" ca="1" si="11"/>
        <v>0.26704965879597831</v>
      </c>
      <c r="D131" s="55">
        <f t="shared" ca="1" si="12"/>
        <v>2.1363972703678265</v>
      </c>
      <c r="E131" s="55">
        <f t="shared" ca="1" si="13"/>
        <v>8.5151513578777482E-2</v>
      </c>
      <c r="F131" s="55">
        <f t="shared" ca="1" si="14"/>
        <v>0.68121210863021986</v>
      </c>
      <c r="G131" s="56">
        <f t="shared" ca="1" si="20"/>
        <v>0.68121210863021986</v>
      </c>
      <c r="H131" s="57">
        <f t="shared" ca="1" si="21"/>
        <v>46.063543585001732</v>
      </c>
      <c r="J131" s="75">
        <f t="shared" ca="1" si="16"/>
        <v>1864.9072684049011</v>
      </c>
    </row>
    <row r="132" spans="1:14" x14ac:dyDescent="0.25">
      <c r="A132" s="39"/>
      <c r="B132" s="54"/>
      <c r="C132" s="55"/>
      <c r="D132" s="55"/>
      <c r="E132" s="55"/>
      <c r="F132" s="55"/>
      <c r="G132" s="56"/>
      <c r="H132" s="57"/>
      <c r="J132" s="75"/>
    </row>
    <row r="133" spans="1:14" x14ac:dyDescent="0.25">
      <c r="A133" s="39"/>
      <c r="B133" s="54"/>
      <c r="C133" s="55"/>
      <c r="D133" s="55"/>
      <c r="E133" s="55"/>
      <c r="F133" s="55"/>
      <c r="G133" s="56"/>
      <c r="H133" s="57"/>
      <c r="J133" s="75"/>
    </row>
    <row r="134" spans="1:14" x14ac:dyDescent="0.25">
      <c r="A134" s="39"/>
      <c r="B134" s="54"/>
      <c r="C134" s="55"/>
      <c r="D134" s="55"/>
      <c r="E134" s="55"/>
      <c r="F134" s="55"/>
      <c r="G134" s="56"/>
      <c r="H134" s="57"/>
      <c r="J134" s="75"/>
    </row>
    <row r="135" spans="1:14" x14ac:dyDescent="0.25">
      <c r="A135" s="39"/>
      <c r="B135" s="54"/>
      <c r="C135" s="55"/>
      <c r="D135" s="55"/>
      <c r="E135" s="55"/>
      <c r="F135" s="55"/>
      <c r="G135" s="56"/>
      <c r="H135" s="57"/>
      <c r="J135" s="76"/>
    </row>
    <row r="136" spans="1:14" x14ac:dyDescent="0.25">
      <c r="A136" s="39"/>
      <c r="B136" s="54"/>
      <c r="C136" s="55"/>
      <c r="D136" s="55"/>
      <c r="E136" s="55"/>
      <c r="F136" s="55"/>
      <c r="G136" s="56"/>
      <c r="H136" s="57"/>
      <c r="J136" s="76"/>
    </row>
    <row r="137" spans="1:14" x14ac:dyDescent="0.25">
      <c r="A137" s="39"/>
      <c r="B137" s="54"/>
      <c r="C137" s="55"/>
      <c r="D137" s="55"/>
      <c r="E137" s="55"/>
      <c r="F137" s="55"/>
      <c r="G137" s="56"/>
      <c r="H137" s="57"/>
      <c r="J137" s="76"/>
    </row>
    <row r="138" spans="1:14" x14ac:dyDescent="0.25">
      <c r="A138" s="39"/>
      <c r="B138" s="54"/>
      <c r="C138" s="55"/>
      <c r="D138" s="55"/>
      <c r="E138" s="55"/>
      <c r="F138" s="55"/>
      <c r="G138" s="56"/>
      <c r="H138" s="57"/>
      <c r="J138" s="76"/>
    </row>
    <row r="139" spans="1:14" x14ac:dyDescent="0.25">
      <c r="A139" s="39"/>
      <c r="B139" s="54"/>
      <c r="C139" s="55"/>
      <c r="D139" s="55"/>
      <c r="E139" s="55"/>
      <c r="F139" s="55"/>
      <c r="G139" s="56"/>
      <c r="H139" s="57"/>
      <c r="J139" s="76"/>
    </row>
    <row r="140" spans="1:14" x14ac:dyDescent="0.25">
      <c r="A140" s="39"/>
      <c r="B140" s="54"/>
      <c r="C140" s="55"/>
      <c r="D140" s="55"/>
      <c r="E140" s="55"/>
      <c r="F140" s="55"/>
      <c r="G140" s="56"/>
      <c r="H140" s="57"/>
      <c r="J140" s="76"/>
    </row>
    <row r="141" spans="1:14" x14ac:dyDescent="0.25">
      <c r="A141" s="39"/>
      <c r="B141" s="54"/>
      <c r="C141" s="55"/>
      <c r="D141" s="55"/>
      <c r="E141" s="55"/>
      <c r="F141" s="55"/>
      <c r="G141" s="56"/>
      <c r="H141" s="57"/>
      <c r="J141" s="76"/>
    </row>
    <row r="142" spans="1:14" x14ac:dyDescent="0.25">
      <c r="A142" s="39"/>
      <c r="B142" s="54"/>
      <c r="C142" s="55"/>
      <c r="D142" s="55"/>
      <c r="E142" s="55"/>
      <c r="F142" s="55"/>
      <c r="G142" s="56"/>
      <c r="H142" s="57"/>
      <c r="J142" s="76"/>
    </row>
    <row r="143" spans="1:14" x14ac:dyDescent="0.25">
      <c r="A143" s="39"/>
      <c r="B143" s="54"/>
      <c r="C143" s="55"/>
      <c r="D143" s="55"/>
      <c r="E143" s="55"/>
      <c r="F143" s="55"/>
      <c r="G143" s="56"/>
      <c r="H143" s="57"/>
      <c r="J143" s="76"/>
    </row>
    <row r="144" spans="1:14" ht="15.75" thickBot="1" x14ac:dyDescent="0.3">
      <c r="A144" s="39"/>
      <c r="B144" s="58"/>
      <c r="C144" s="59"/>
      <c r="D144" s="59"/>
      <c r="E144" s="59"/>
      <c r="F144" s="59"/>
      <c r="G144" s="60"/>
      <c r="H144" s="61"/>
      <c r="J144" s="77"/>
    </row>
    <row r="145" spans="1:5" x14ac:dyDescent="0.25">
      <c r="A145" s="39"/>
      <c r="B145" s="62"/>
      <c r="C145" s="39"/>
      <c r="D145" s="39"/>
      <c r="E145" s="39"/>
    </row>
    <row r="146" spans="1:5" x14ac:dyDescent="0.25">
      <c r="A146" s="39"/>
      <c r="B146" s="62"/>
      <c r="C146" s="39"/>
      <c r="D146" s="39"/>
      <c r="E146" s="39"/>
    </row>
    <row r="147" spans="1:5" x14ac:dyDescent="0.25">
      <c r="A147" s="39"/>
      <c r="B147" s="62"/>
      <c r="C147" s="39"/>
      <c r="D147" s="39"/>
      <c r="E147" s="39"/>
    </row>
    <row r="148" spans="1:5" x14ac:dyDescent="0.25">
      <c r="A148" s="39"/>
      <c r="B148" s="39"/>
      <c r="C148" s="39"/>
      <c r="D148" s="39"/>
      <c r="E148" s="39"/>
    </row>
  </sheetData>
  <sortState ref="B32:B51">
    <sortCondition ref="B32"/>
  </sortState>
  <mergeCells count="15">
    <mergeCell ref="K38:U39"/>
    <mergeCell ref="B26:F26"/>
    <mergeCell ref="E107:L108"/>
    <mergeCell ref="I116:I129"/>
    <mergeCell ref="K116:K129"/>
    <mergeCell ref="L116:L129"/>
    <mergeCell ref="B59:E59"/>
    <mergeCell ref="B76:B77"/>
    <mergeCell ref="E86:L87"/>
    <mergeCell ref="G98:H98"/>
    <mergeCell ref="M116:M129"/>
    <mergeCell ref="N116:N129"/>
    <mergeCell ref="E52:F52"/>
    <mergeCell ref="E53:F53"/>
    <mergeCell ref="E54:F54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hicuadrado">
                <anchor moveWithCells="1" sizeWithCells="1">
                  <from>
                    <xdr:col>9</xdr:col>
                    <xdr:colOff>19050</xdr:colOff>
                    <xdr:row>33</xdr:row>
                    <xdr:rowOff>180975</xdr:rowOff>
                  </from>
                  <to>
                    <xdr:col>9</xdr:col>
                    <xdr:colOff>742950</xdr:colOff>
                    <xdr:row>36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Tema1</vt:lpstr>
      <vt:lpstr>Tema2</vt:lpstr>
      <vt:lpstr>Tema1!Área_de_impresión</vt:lpstr>
      <vt:lpstr>Tema2!Área_de_impresión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Marylone MT</dc:creator>
  <cp:lastModifiedBy>Marylone MT</cp:lastModifiedBy>
  <cp:lastPrinted>2017-09-14T00:22:31Z</cp:lastPrinted>
  <dcterms:created xsi:type="dcterms:W3CDTF">2017-08-11T21:20:28Z</dcterms:created>
  <dcterms:modified xsi:type="dcterms:W3CDTF">2017-09-15T22:39:44Z</dcterms:modified>
</cp:coreProperties>
</file>